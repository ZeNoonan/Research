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8775" tabRatio="695" firstSheet="0" activeTab="2" autoFilterDateGrouping="1"/>
  </bookViews>
  <sheets>
    <sheet name="Read Me" sheetId="1" state="visible" r:id="rId1"/>
    <sheet name="Sheet1" sheetId="2" state="visible" r:id="rId2"/>
    <sheet name="Bracket" sheetId="3" state="visible" r:id="rId3"/>
    <sheet name="Size" sheetId="4" state="visible" r:id="rId4"/>
    <sheet name="Mom" sheetId="5" state="visible" r:id="rId5"/>
    <sheet name="Quality" sheetId="6" state="visible" r:id="rId6"/>
    <sheet name="Brackets - prob" sheetId="7" state="visible" r:id="rId7"/>
    <sheet name="Brackets - freq" sheetId="8" state="visible" r:id="rId8"/>
    <sheet name="Slot calculations" sheetId="9" state="visible" r:id="rId9"/>
  </sheets>
  <definedNames/>
  <calcPr calcId="162913" fullCalcOnLoad="1"/>
</workbook>
</file>

<file path=xl/styles.xml><?xml version="1.0" encoding="utf-8"?>
<styleSheet xmlns="http://schemas.openxmlformats.org/spreadsheetml/2006/main">
  <numFmts count="2">
    <numFmt numFmtId="164" formatCode="_(* #,##0.0_);_(* \(#,##0.0\);_(* &quot;-&quot;??_);_(@_)"/>
    <numFmt numFmtId="165" formatCode="_(* #,##0_);_(* \(#,##0\);_(* &quot;-&quot;??_);_(@_)"/>
  </numFmts>
  <fonts count="8">
    <font>
      <name val="Calibri"/>
      <family val="2"/>
      <color theme="1"/>
      <sz val="11"/>
      <scheme val="minor"/>
    </font>
    <font>
      <name val="Calibri"/>
      <family val="2"/>
      <color theme="1"/>
      <sz val="11"/>
      <scheme val="minor"/>
    </font>
    <font>
      <name val="Calibri"/>
      <family val="2"/>
      <b val="1"/>
      <color theme="0"/>
      <sz val="11"/>
      <scheme val="minor"/>
    </font>
    <font>
      <name val="Roboto"/>
      <color rgb="FF48494A"/>
      <sz val="9"/>
    </font>
    <font>
      <name val="Webdings"/>
      <charset val="2"/>
      <family val="1"/>
      <color theme="1"/>
      <sz val="11"/>
    </font>
    <font>
      <name val="Calibri"/>
      <family val="2"/>
      <b val="1"/>
      <color rgb="FF7030A0"/>
      <sz val="11"/>
      <scheme val="minor"/>
    </font>
    <font>
      <name val="Calibri"/>
      <family val="2"/>
      <b val="1"/>
      <color theme="1"/>
      <sz val="14"/>
      <scheme val="minor"/>
    </font>
    <font>
      <name val="Calibri"/>
      <family val="2"/>
      <b val="1"/>
      <color rgb="FFFFFF00"/>
      <sz val="24"/>
      <scheme val="minor"/>
    </font>
  </fonts>
  <fills count="17">
    <fill>
      <patternFill/>
    </fill>
    <fill>
      <patternFill patternType="gray125"/>
    </fill>
    <fill>
      <patternFill patternType="solid">
        <fgColor rgb="FFFFFFFF"/>
        <bgColor indexed="64"/>
      </patternFill>
    </fill>
    <fill>
      <patternFill patternType="solid">
        <fgColor theme="5" tint="-0.499984740745262"/>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3" tint="0.7999816888943144"/>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rgb="FFC00000"/>
        <bgColor indexed="64"/>
      </patternFill>
    </fill>
    <fill>
      <patternFill patternType="solid">
        <fgColor rgb="FF00B050"/>
        <bgColor indexed="64"/>
      </patternFill>
    </fill>
  </fills>
  <borders count="53">
    <border>
      <left/>
      <right/>
      <top/>
      <bottom/>
      <diagonal/>
    </border>
    <border>
      <left/>
      <right/>
      <top style="medium">
        <color rgb="FFF1F2F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3">
    <xf numFmtId="0" fontId="1" fillId="0" borderId="0"/>
    <xf numFmtId="43" fontId="1" fillId="0" borderId="0"/>
    <xf numFmtId="9" fontId="1" fillId="0" borderId="0"/>
  </cellStyleXfs>
  <cellXfs count="198">
    <xf numFmtId="0" fontId="0" fillId="0" borderId="0" pivotButton="0" quotePrefix="0" xfId="0"/>
    <xf numFmtId="164" fontId="0" fillId="0" borderId="0" pivotButton="0" quotePrefix="0" xfId="1"/>
    <xf numFmtId="165" fontId="0" fillId="0" borderId="0" pivotButton="0" quotePrefix="0" xfId="1"/>
    <xf numFmtId="0" fontId="2" fillId="3" borderId="2" applyAlignment="1" pivotButton="0" quotePrefix="0" xfId="0">
      <alignment horizontal="center" vertical="center"/>
    </xf>
    <xf numFmtId="0" fontId="2" fillId="3" borderId="3" applyAlignment="1" pivotButton="0" quotePrefix="0" xfId="0">
      <alignment horizontal="center" vertical="center"/>
    </xf>
    <xf numFmtId="0" fontId="2" fillId="3" borderId="4" applyAlignment="1" pivotButton="0" quotePrefix="0" xfId="0">
      <alignment horizontal="center" vertical="center"/>
    </xf>
    <xf numFmtId="0" fontId="0" fillId="0"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4" borderId="5" applyAlignment="1" pivotButton="0" quotePrefix="0" xfId="0">
      <alignment horizontal="center" vertical="center"/>
    </xf>
    <xf numFmtId="0" fontId="4" fillId="5" borderId="5" applyAlignment="1" pivotButton="0" quotePrefix="0" xfId="0">
      <alignment horizontal="center" vertical="center"/>
    </xf>
    <xf numFmtId="0" fontId="4" fillId="6" borderId="5" applyAlignment="1" pivotButton="0" quotePrefix="0" xfId="0">
      <alignment horizontal="center" vertical="center"/>
    </xf>
    <xf numFmtId="0" fontId="4" fillId="7" borderId="5" applyAlignment="1" pivotButton="0" quotePrefix="0" xfId="0">
      <alignment horizontal="center" vertical="center"/>
    </xf>
    <xf numFmtId="0" fontId="4" fillId="4" borderId="6" applyAlignment="1" pivotButton="0" quotePrefix="0" xfId="0">
      <alignment horizontal="center" vertical="center"/>
    </xf>
    <xf numFmtId="0" fontId="4" fillId="4" borderId="7" applyAlignment="1" pivotButton="0" quotePrefix="0" xfId="0">
      <alignment horizontal="center" vertical="center"/>
    </xf>
    <xf numFmtId="0" fontId="4" fillId="4" borderId="8" applyAlignment="1" pivotButton="0" quotePrefix="0" xfId="0">
      <alignment horizontal="center" vertical="center"/>
    </xf>
    <xf numFmtId="0" fontId="4" fillId="4" borderId="9" applyAlignment="1" pivotButton="0" quotePrefix="0" xfId="0">
      <alignment horizontal="center" vertical="center"/>
    </xf>
    <xf numFmtId="0" fontId="4" fillId="4" borderId="10" applyAlignment="1" pivotButton="0" quotePrefix="0" xfId="0">
      <alignment horizontal="center" vertical="center"/>
    </xf>
    <xf numFmtId="0" fontId="4" fillId="4" borderId="11" applyAlignment="1" pivotButton="0" quotePrefix="0" xfId="0">
      <alignment horizontal="center" vertical="center"/>
    </xf>
    <xf numFmtId="0" fontId="4" fillId="5" borderId="9" applyAlignment="1" pivotButton="0" quotePrefix="0" xfId="0">
      <alignment horizontal="center" vertical="center"/>
    </xf>
    <xf numFmtId="0" fontId="4" fillId="5" borderId="10" applyAlignment="1" pivotButton="0" quotePrefix="0" xfId="0">
      <alignment horizontal="center" vertical="center"/>
    </xf>
    <xf numFmtId="0" fontId="4" fillId="5" borderId="11" applyAlignment="1" pivotButton="0" quotePrefix="0" xfId="0">
      <alignment horizontal="center" vertical="center"/>
    </xf>
    <xf numFmtId="0" fontId="4" fillId="6" borderId="9" applyAlignment="1" pivotButton="0" quotePrefix="0" xfId="0">
      <alignment horizontal="center" vertical="center"/>
    </xf>
    <xf numFmtId="0" fontId="4" fillId="6" borderId="10" applyAlignment="1" pivotButton="0" quotePrefix="0" xfId="0">
      <alignment horizontal="center" vertical="center"/>
    </xf>
    <xf numFmtId="0" fontId="4" fillId="6" borderId="11" applyAlignment="1" pivotButton="0" quotePrefix="0" xfId="0">
      <alignment horizontal="center" vertical="center"/>
    </xf>
    <xf numFmtId="0" fontId="4" fillId="7" borderId="9" applyAlignment="1" pivotButton="0" quotePrefix="0" xfId="0">
      <alignment horizontal="center" vertical="center"/>
    </xf>
    <xf numFmtId="0" fontId="4" fillId="7" borderId="10" applyAlignment="1" pivotButton="0" quotePrefix="0" xfId="0">
      <alignment horizontal="center" vertical="center"/>
    </xf>
    <xf numFmtId="0" fontId="4" fillId="7" borderId="11" applyAlignment="1" pivotButton="0" quotePrefix="0" xfId="0">
      <alignment horizontal="center" vertical="center"/>
    </xf>
    <xf numFmtId="0" fontId="4" fillId="7" borderId="12" applyAlignment="1" pivotButton="0" quotePrefix="0" xfId="0">
      <alignment horizontal="center" vertical="center"/>
    </xf>
    <xf numFmtId="165" fontId="0" fillId="8" borderId="0" pivotButton="0" quotePrefix="0" xfId="1"/>
    <xf numFmtId="165" fontId="0" fillId="10" borderId="0" pivotButton="0" quotePrefix="0" xfId="1"/>
    <xf numFmtId="165" fontId="0" fillId="11" borderId="0" pivotButton="0" quotePrefix="0" xfId="1"/>
    <xf numFmtId="165" fontId="0" fillId="12" borderId="0" pivotButton="0" quotePrefix="0" xfId="1"/>
    <xf numFmtId="165" fontId="0" fillId="9" borderId="0" pivotButton="0" quotePrefix="0" xfId="1"/>
    <xf numFmtId="0" fontId="2" fillId="3" borderId="18" applyAlignment="1" pivotButton="0" quotePrefix="0" xfId="0">
      <alignment horizontal="center" vertical="center"/>
    </xf>
    <xf numFmtId="0" fontId="5" fillId="13" borderId="17" applyAlignment="1" pivotButton="0" quotePrefix="0" xfId="0">
      <alignment horizontal="center"/>
    </xf>
    <xf numFmtId="0" fontId="0" fillId="0" borderId="0" applyProtection="1" pivotButton="0" quotePrefix="0" xfId="0">
      <protection locked="0" hidden="0"/>
    </xf>
    <xf numFmtId="0" fontId="2" fillId="3" borderId="4" applyAlignment="1" applyProtection="1" pivotButton="0" quotePrefix="0" xfId="0">
      <alignment horizontal="center" vertical="center"/>
      <protection locked="0" hidden="0"/>
    </xf>
    <xf numFmtId="0" fontId="2" fillId="3" borderId="2" applyAlignment="1" applyProtection="1" pivotButton="0" quotePrefix="0" xfId="0">
      <alignment horizontal="center" vertical="center"/>
      <protection locked="0" hidden="0"/>
    </xf>
    <xf numFmtId="0" fontId="2" fillId="3" borderId="3" applyAlignment="1" applyProtection="1" pivotButton="0" quotePrefix="0" xfId="0">
      <alignment horizontal="center" vertical="center"/>
      <protection locked="0" hidden="0"/>
    </xf>
    <xf numFmtId="165" fontId="0" fillId="8" borderId="0" applyProtection="1" pivotButton="0" quotePrefix="0" xfId="1">
      <protection locked="0" hidden="0"/>
    </xf>
    <xf numFmtId="165" fontId="0" fillId="10" borderId="0" applyProtection="1" pivotButton="0" quotePrefix="0" xfId="1">
      <protection locked="0" hidden="0"/>
    </xf>
    <xf numFmtId="165" fontId="0" fillId="9" borderId="0" applyProtection="1" pivotButton="0" quotePrefix="0" xfId="1">
      <protection locked="0" hidden="0"/>
    </xf>
    <xf numFmtId="165" fontId="0" fillId="0" borderId="0" applyProtection="1" pivotButton="0" quotePrefix="0" xfId="1">
      <protection locked="0" hidden="0"/>
    </xf>
    <xf numFmtId="1" fontId="0" fillId="0" borderId="0" applyProtection="1" pivotButton="0" quotePrefix="0" xfId="0">
      <protection locked="0" hidden="0"/>
    </xf>
    <xf numFmtId="165" fontId="2" fillId="3" borderId="2" applyAlignment="1" applyProtection="1" pivotButton="0" quotePrefix="0" xfId="1">
      <alignment horizontal="center" vertical="center"/>
      <protection locked="0" hidden="0"/>
    </xf>
    <xf numFmtId="9" fontId="0" fillId="0" borderId="0" applyProtection="1" pivotButton="0" quotePrefix="0" xfId="0">
      <protection locked="0" hidden="0"/>
    </xf>
    <xf numFmtId="9" fontId="0" fillId="0" borderId="0" applyProtection="1" pivotButton="0" quotePrefix="0" xfId="2">
      <protection locked="0" hidden="0"/>
    </xf>
    <xf numFmtId="0" fontId="2" fillId="3" borderId="0" applyAlignment="1" applyProtection="1" pivotButton="0" quotePrefix="0" xfId="0">
      <alignment horizontal="center"/>
      <protection locked="0" hidden="0"/>
    </xf>
    <xf numFmtId="9" fontId="0" fillId="5" borderId="0" applyProtection="1" pivotButton="0" quotePrefix="0" xfId="2">
      <protection locked="0" hidden="0"/>
    </xf>
    <xf numFmtId="9" fontId="0" fillId="6" borderId="0" applyProtection="1" pivotButton="0" quotePrefix="0" xfId="2">
      <protection locked="0" hidden="0"/>
    </xf>
    <xf numFmtId="9" fontId="0" fillId="7" borderId="0" applyProtection="1" pivotButton="0" quotePrefix="0" xfId="2">
      <protection locked="0" hidden="0"/>
    </xf>
    <xf numFmtId="165" fontId="0" fillId="4" borderId="0" applyProtection="1" pivotButton="0" quotePrefix="0" xfId="1">
      <protection locked="0" hidden="0"/>
    </xf>
    <xf numFmtId="165" fontId="0" fillId="5" borderId="0" applyProtection="1" pivotButton="0" quotePrefix="0" xfId="1">
      <protection locked="0" hidden="0"/>
    </xf>
    <xf numFmtId="165" fontId="0" fillId="6" borderId="0" applyProtection="1" pivotButton="0" quotePrefix="0" xfId="1">
      <protection locked="0" hidden="0"/>
    </xf>
    <xf numFmtId="165" fontId="3" fillId="2" borderId="0" applyAlignment="1" applyProtection="1" pivotButton="0" quotePrefix="0" xfId="1">
      <alignment horizontal="right" vertical="center"/>
      <protection locked="0" hidden="0"/>
    </xf>
    <xf numFmtId="165" fontId="0" fillId="0" borderId="1" applyProtection="1" pivotButton="0" quotePrefix="0" xfId="1">
      <protection locked="0" hidden="0"/>
    </xf>
    <xf numFmtId="0" fontId="2" fillId="3" borderId="22" applyAlignment="1" pivotButton="0" quotePrefix="0" xfId="0">
      <alignment horizontal="center" vertical="center"/>
    </xf>
    <xf numFmtId="0" fontId="2" fillId="3" borderId="0" applyAlignment="1" pivotButton="0" quotePrefix="0" xfId="0">
      <alignment horizontal="center" vertical="center"/>
    </xf>
    <xf numFmtId="0" fontId="2" fillId="14" borderId="0" applyAlignment="1" pivotButton="0" quotePrefix="0" xfId="0">
      <alignment horizontal="center" vertical="center"/>
    </xf>
    <xf numFmtId="1" fontId="0" fillId="0" borderId="0" pivotButton="0" quotePrefix="0" xfId="0"/>
    <xf numFmtId="43" fontId="0" fillId="9" borderId="0" applyProtection="1" pivotButton="0" quotePrefix="0" xfId="1">
      <protection locked="0" hidden="0"/>
    </xf>
    <xf numFmtId="0" fontId="0" fillId="0" borderId="0" applyAlignment="1" pivotButton="0" quotePrefix="0" xfId="0">
      <alignment vertical="center"/>
    </xf>
    <xf numFmtId="0" fontId="2" fillId="15" borderId="31" applyAlignment="1" pivotButton="0" quotePrefix="0" xfId="0">
      <alignment vertical="center"/>
    </xf>
    <xf numFmtId="0" fontId="2" fillId="15" borderId="34" applyAlignment="1" pivotButton="0" quotePrefix="0" xfId="0">
      <alignment vertical="center"/>
    </xf>
    <xf numFmtId="0" fontId="2" fillId="15" borderId="32" applyAlignment="1" pivotButton="0" quotePrefix="0" xfId="0">
      <alignment vertical="center"/>
    </xf>
    <xf numFmtId="0" fontId="2" fillId="15" borderId="33" applyAlignment="1" pivotButton="0" quotePrefix="0" xfId="0">
      <alignment vertical="center"/>
    </xf>
    <xf numFmtId="0" fontId="2" fillId="15" borderId="25" applyAlignment="1" pivotButton="0" quotePrefix="0" xfId="0">
      <alignment vertical="center"/>
    </xf>
    <xf numFmtId="0" fontId="2" fillId="15" borderId="28" applyAlignment="1" pivotButton="0" quotePrefix="0" xfId="0">
      <alignment vertical="center"/>
    </xf>
    <xf numFmtId="0" fontId="2" fillId="15" borderId="38" applyAlignment="1" pivotButton="0" quotePrefix="0" xfId="0">
      <alignment vertical="center"/>
    </xf>
    <xf numFmtId="0" fontId="2" fillId="15" borderId="22" applyAlignment="1" pivotButton="0" quotePrefix="0" xfId="0">
      <alignment vertical="center"/>
    </xf>
    <xf numFmtId="1" fontId="2" fillId="15" borderId="24" pivotButton="0" quotePrefix="0" xfId="0"/>
    <xf numFmtId="1" fontId="2" fillId="15" borderId="25" pivotButton="0" quotePrefix="0" xfId="0"/>
    <xf numFmtId="1" fontId="2" fillId="15" borderId="26" pivotButton="0" quotePrefix="0" xfId="0"/>
    <xf numFmtId="1" fontId="2" fillId="15" borderId="27" pivotButton="0" quotePrefix="0" xfId="0"/>
    <xf numFmtId="1" fontId="2" fillId="15" borderId="28" pivotButton="0" quotePrefix="0" xfId="0"/>
    <xf numFmtId="1" fontId="2" fillId="15" borderId="29" pivotButton="0" quotePrefix="0" xfId="0"/>
    <xf numFmtId="1" fontId="2" fillId="15" borderId="24" applyAlignment="1" pivotButton="0" quotePrefix="0" xfId="0">
      <alignment vertical="center"/>
    </xf>
    <xf numFmtId="165" fontId="2" fillId="15" borderId="26" applyAlignment="1" pivotButton="0" quotePrefix="0" xfId="0">
      <alignment vertical="center"/>
    </xf>
    <xf numFmtId="0" fontId="2" fillId="15" borderId="27" applyAlignment="1" pivotButton="0" quotePrefix="0" xfId="0">
      <alignment vertical="center"/>
    </xf>
    <xf numFmtId="165" fontId="2" fillId="15" borderId="29" applyAlignment="1" pivotButton="0" quotePrefix="0" xfId="0">
      <alignment vertical="center"/>
    </xf>
    <xf numFmtId="10" fontId="2" fillId="16" borderId="2" applyAlignment="1" pivotButton="0" quotePrefix="0" xfId="2">
      <alignment horizontal="center" vertical="center"/>
    </xf>
    <xf numFmtId="1" fontId="2" fillId="16" borderId="2" applyAlignment="1" pivotButton="0" quotePrefix="0" xfId="0">
      <alignment horizontal="center" vertical="center"/>
    </xf>
    <xf numFmtId="9" fontId="2" fillId="16" borderId="2" applyAlignment="1" pivotButton="0" quotePrefix="0" xfId="2">
      <alignment horizontal="center" vertical="center"/>
    </xf>
    <xf numFmtId="10" fontId="2" fillId="16" borderId="25" applyAlignment="1" pivotButton="0" quotePrefix="0" xfId="2">
      <alignment horizontal="center" vertical="center"/>
    </xf>
    <xf numFmtId="10" fontId="2" fillId="16" borderId="25" pivotButton="0" quotePrefix="0" xfId="2"/>
    <xf numFmtId="10" fontId="2" fillId="16" borderId="26" pivotButton="0" quotePrefix="0" xfId="2"/>
    <xf numFmtId="1" fontId="2" fillId="16" borderId="36" applyAlignment="1" pivotButton="0" quotePrefix="0" xfId="0">
      <alignment horizontal="center" vertical="center"/>
    </xf>
    <xf numFmtId="10" fontId="2" fillId="16" borderId="36" applyAlignment="1" pivotButton="0" quotePrefix="0" xfId="2">
      <alignment horizontal="center" vertical="center"/>
    </xf>
    <xf numFmtId="0" fontId="2" fillId="16" borderId="28" applyAlignment="1" pivotButton="0" quotePrefix="0" xfId="0">
      <alignment vertical="center"/>
    </xf>
    <xf numFmtId="10" fontId="2" fillId="16" borderId="28" applyAlignment="1" pivotButton="0" quotePrefix="0" xfId="2">
      <alignment horizontal="center" vertical="center"/>
    </xf>
    <xf numFmtId="10" fontId="2" fillId="16" borderId="29" applyAlignment="1" pivotButton="0" quotePrefix="0" xfId="2">
      <alignment horizontal="center" vertical="center"/>
    </xf>
    <xf numFmtId="10" fontId="2" fillId="16" borderId="16" applyAlignment="1" pivotButton="0" quotePrefix="0" xfId="2">
      <alignment horizontal="center" vertical="center"/>
    </xf>
    <xf numFmtId="0" fontId="5" fillId="6" borderId="17" applyAlignment="1" applyProtection="1" pivotButton="0" quotePrefix="0" xfId="0">
      <alignment horizontal="center"/>
      <protection locked="0" hidden="0"/>
    </xf>
    <xf numFmtId="165" fontId="1" fillId="6" borderId="6" applyAlignment="1" applyProtection="1" pivotButton="0" quotePrefix="0" xfId="1">
      <alignment horizontal="center" vertical="center"/>
      <protection locked="0" hidden="0"/>
    </xf>
    <xf numFmtId="165" fontId="1" fillId="6" borderId="7" applyAlignment="1" applyProtection="1" pivotButton="0" quotePrefix="0" xfId="1">
      <alignment horizontal="center" vertical="center"/>
      <protection locked="0" hidden="0"/>
    </xf>
    <xf numFmtId="165" fontId="1" fillId="6" borderId="8" applyAlignment="1" applyProtection="1" pivotButton="0" quotePrefix="0" xfId="1">
      <alignment horizontal="center" vertical="center"/>
      <protection locked="0" hidden="0"/>
    </xf>
    <xf numFmtId="165" fontId="1" fillId="6" borderId="11" applyAlignment="1" applyProtection="1" pivotButton="0" quotePrefix="0" xfId="1">
      <alignment horizontal="center" vertical="center"/>
      <protection locked="0" hidden="0"/>
    </xf>
    <xf numFmtId="165" fontId="1" fillId="6" borderId="0" applyAlignment="1" applyProtection="1" pivotButton="0" quotePrefix="0" xfId="1">
      <alignment horizontal="center" vertical="center"/>
      <protection locked="0" hidden="0"/>
    </xf>
    <xf numFmtId="165" fontId="1" fillId="6" borderId="9" applyAlignment="1" applyProtection="1" pivotButton="0" quotePrefix="0" xfId="1">
      <alignment horizontal="center" vertical="center"/>
      <protection locked="0" hidden="0"/>
    </xf>
    <xf numFmtId="165" fontId="1" fillId="6" borderId="5" applyAlignment="1" applyProtection="1" pivotButton="0" quotePrefix="0" xfId="1">
      <alignment horizontal="center" vertical="center"/>
      <protection locked="0" hidden="0"/>
    </xf>
    <xf numFmtId="0" fontId="6" fillId="4" borderId="0" applyAlignment="1" pivotButton="0" quotePrefix="0" xfId="0">
      <alignment wrapText="1"/>
    </xf>
    <xf numFmtId="0" fontId="0" fillId="0" borderId="0" applyAlignment="1" pivotButton="0" quotePrefix="0" xfId="0">
      <alignment wrapText="1"/>
    </xf>
    <xf numFmtId="0" fontId="6" fillId="0" borderId="0" applyAlignment="1" pivotButton="0" quotePrefix="0" xfId="0">
      <alignment wrapText="1"/>
    </xf>
    <xf numFmtId="0" fontId="2" fillId="16" borderId="24" applyAlignment="1" pivotButton="0" quotePrefix="0" xfId="0">
      <alignment horizontal="center" vertical="center" wrapText="1"/>
    </xf>
    <xf numFmtId="0" fontId="2" fillId="16" borderId="25" applyAlignment="1" pivotButton="0" quotePrefix="0" xfId="0">
      <alignment horizontal="center" vertical="center" wrapText="1"/>
    </xf>
    <xf numFmtId="0" fontId="2" fillId="16" borderId="35" applyAlignment="1" pivotButton="0" quotePrefix="0" xfId="0">
      <alignment horizontal="center" vertical="center" wrapText="1"/>
    </xf>
    <xf numFmtId="0" fontId="2" fillId="16" borderId="2" applyAlignment="1" pivotButton="0" quotePrefix="0" xfId="0">
      <alignment horizontal="center" vertical="center" wrapText="1"/>
    </xf>
    <xf numFmtId="0" fontId="2" fillId="16" borderId="27" applyAlignment="1" pivotButton="0" quotePrefix="0" xfId="0">
      <alignment horizontal="center" vertical="center" wrapText="1"/>
    </xf>
    <xf numFmtId="0" fontId="2" fillId="16" borderId="28" applyAlignment="1" pivotButton="0" quotePrefix="0" xfId="0">
      <alignment horizontal="center" vertical="center" wrapText="1"/>
    </xf>
    <xf numFmtId="10" fontId="7" fillId="16" borderId="26" applyAlignment="1" pivotButton="0" quotePrefix="0" xfId="0">
      <alignment horizontal="center" vertical="center"/>
    </xf>
    <xf numFmtId="0" fontId="7" fillId="16" borderId="36" applyAlignment="1" pivotButton="0" quotePrefix="0" xfId="0">
      <alignment horizontal="center" vertical="center"/>
    </xf>
    <xf numFmtId="0" fontId="7" fillId="16" borderId="29" applyAlignment="1" pivotButton="0" quotePrefix="0" xfId="0">
      <alignment horizontal="center" vertical="center"/>
    </xf>
    <xf numFmtId="0" fontId="5" fillId="13" borderId="39" applyAlignment="1" pivotButton="0" quotePrefix="0" xfId="0">
      <alignment horizontal="center"/>
    </xf>
    <xf numFmtId="0" fontId="5" fillId="13" borderId="40" applyAlignment="1" pivotButton="0" quotePrefix="0" xfId="0">
      <alignment horizontal="center"/>
    </xf>
    <xf numFmtId="0" fontId="5" fillId="13" borderId="41" applyAlignment="1" pivotButton="0" quotePrefix="0" xfId="0">
      <alignment horizontal="center"/>
    </xf>
    <xf numFmtId="0" fontId="2" fillId="15" borderId="24" applyAlignment="1" pivotButton="0" quotePrefix="0" xfId="0">
      <alignment horizontal="center" vertical="center"/>
    </xf>
    <xf numFmtId="0" fontId="2" fillId="15" borderId="25" applyAlignment="1" pivotButton="0" quotePrefix="0" xfId="0">
      <alignment horizontal="center" vertical="center"/>
    </xf>
    <xf numFmtId="0" fontId="2" fillId="15" borderId="27" applyAlignment="1" pivotButton="0" quotePrefix="0" xfId="0">
      <alignment horizontal="center" vertical="center"/>
    </xf>
    <xf numFmtId="0" fontId="2" fillId="15" borderId="28" applyAlignment="1" pivotButton="0" quotePrefix="0" xfId="0">
      <alignment horizontal="center" vertical="center"/>
    </xf>
    <xf numFmtId="0" fontId="2" fillId="15" borderId="30" applyAlignment="1" pivotButton="0" quotePrefix="0" xfId="0">
      <alignment horizontal="center" vertical="center"/>
    </xf>
    <xf numFmtId="0" fontId="2" fillId="15" borderId="31" applyAlignment="1" pivotButton="0" quotePrefix="0" xfId="0">
      <alignment horizontal="center" vertical="center"/>
    </xf>
    <xf numFmtId="0" fontId="2" fillId="15" borderId="21" applyAlignment="1" pivotButton="0" quotePrefix="0" xfId="0">
      <alignment horizontal="center" vertical="center"/>
    </xf>
    <xf numFmtId="0" fontId="2" fillId="15" borderId="23" applyAlignment="1" pivotButton="0" quotePrefix="0" xfId="0">
      <alignment horizontal="center" vertical="center"/>
    </xf>
    <xf numFmtId="0" fontId="2" fillId="15" borderId="19" applyAlignment="1" pivotButton="0" quotePrefix="0" xfId="0">
      <alignment horizontal="center" vertical="center"/>
    </xf>
    <xf numFmtId="0" fontId="2" fillId="15" borderId="20" applyAlignment="1" pivotButton="0" quotePrefix="0" xfId="0">
      <alignment horizontal="center" vertical="center"/>
    </xf>
    <xf numFmtId="0" fontId="2" fillId="15" borderId="37" applyAlignment="1" pivotButton="0" quotePrefix="0" xfId="0">
      <alignment horizontal="center" vertical="center"/>
    </xf>
    <xf numFmtId="0" fontId="2" fillId="15" borderId="7" applyAlignment="1" pivotButton="0" quotePrefix="0" xfId="0">
      <alignment horizontal="center" vertical="center"/>
    </xf>
    <xf numFmtId="0" fontId="2" fillId="15" borderId="8" applyAlignment="1" pivotButton="0" quotePrefix="0" xfId="0">
      <alignment horizontal="center" vertical="center"/>
    </xf>
    <xf numFmtId="0" fontId="2" fillId="3" borderId="18" applyAlignment="1" pivotButton="0" quotePrefix="0" xfId="0">
      <alignment horizontal="center" vertical="center"/>
    </xf>
    <xf numFmtId="0" fontId="2" fillId="3" borderId="16" applyAlignment="1" pivotButton="0" quotePrefix="0" xfId="0">
      <alignment horizontal="center" vertical="center"/>
    </xf>
    <xf numFmtId="0" fontId="2" fillId="3" borderId="3" applyAlignment="1" pivotButton="0" quotePrefix="0" xfId="0">
      <alignment horizontal="center" vertical="center"/>
    </xf>
    <xf numFmtId="0" fontId="2" fillId="3" borderId="14" applyAlignment="1" pivotButton="0" quotePrefix="0" xfId="0">
      <alignment horizontal="center" vertical="center"/>
    </xf>
    <xf numFmtId="0" fontId="2" fillId="3" borderId="15" applyAlignment="1" pivotButton="0" quotePrefix="0" xfId="0">
      <alignment horizontal="center" vertical="center"/>
    </xf>
    <xf numFmtId="0" fontId="2" fillId="3" borderId="19" applyAlignment="1" pivotButton="0" quotePrefix="0" xfId="0">
      <alignment horizontal="center" vertical="center"/>
    </xf>
    <xf numFmtId="0" fontId="2" fillId="3" borderId="13" applyAlignment="1" pivotButton="0" quotePrefix="0" xfId="0">
      <alignment horizontal="center" vertical="center"/>
    </xf>
    <xf numFmtId="0" fontId="2" fillId="3" borderId="20" applyAlignment="1" pivotButton="0" quotePrefix="0" xfId="0">
      <alignment horizontal="center" vertical="center"/>
    </xf>
    <xf numFmtId="0" fontId="2" fillId="16" borderId="42" applyAlignment="1" pivotButton="0" quotePrefix="0" xfId="0">
      <alignment horizontal="center" vertical="center"/>
    </xf>
    <xf numFmtId="0" fontId="2" fillId="16" borderId="16" applyAlignment="1" pivotButton="0" quotePrefix="0" xfId="0">
      <alignment horizontal="center" vertical="center"/>
    </xf>
    <xf numFmtId="0" fontId="2" fillId="16" borderId="35" applyAlignment="1" pivotButton="0" quotePrefix="0" xfId="0">
      <alignment horizontal="center" vertical="center"/>
    </xf>
    <xf numFmtId="0" fontId="2" fillId="16" borderId="2" applyAlignment="1" pivotButton="0" quotePrefix="0" xfId="0">
      <alignment horizontal="center" vertical="center"/>
    </xf>
    <xf numFmtId="0" fontId="2" fillId="16" borderId="27" applyAlignment="1" pivotButton="0" quotePrefix="0" xfId="0">
      <alignment horizontal="center" vertical="center"/>
    </xf>
    <xf numFmtId="0" fontId="2" fillId="16" borderId="28" applyAlignment="1" pivotButton="0" quotePrefix="0" xfId="0">
      <alignment horizontal="center" vertical="center"/>
    </xf>
    <xf numFmtId="0" fontId="2" fillId="3" borderId="21" applyAlignment="1" applyProtection="1" pivotButton="0" quotePrefix="0" xfId="0">
      <alignment horizontal="center" vertical="center"/>
      <protection locked="0" hidden="0"/>
    </xf>
    <xf numFmtId="0" fontId="2" fillId="3" borderId="19" applyAlignment="1" applyProtection="1" pivotButton="0" quotePrefix="0" xfId="0">
      <alignment horizontal="center" vertical="center"/>
      <protection locked="0" hidden="0"/>
    </xf>
    <xf numFmtId="0" fontId="2" fillId="3" borderId="0" applyAlignment="1" applyProtection="1" pivotButton="0" quotePrefix="0" xfId="0">
      <alignment horizontal="center"/>
      <protection locked="0" hidden="0"/>
    </xf>
    <xf numFmtId="164" fontId="0" fillId="0" borderId="0" pivotButton="0" quotePrefix="0" xfId="1"/>
    <xf numFmtId="0" fontId="0" fillId="0" borderId="40" pivotButton="0" quotePrefix="0" xfId="0"/>
    <xf numFmtId="0" fontId="0" fillId="0" borderId="41" pivotButton="0" quotePrefix="0" xfId="0"/>
    <xf numFmtId="0" fontId="0" fillId="0" borderId="7" pivotButton="0" quotePrefix="0" xfId="0"/>
    <xf numFmtId="0" fontId="0" fillId="0" borderId="47" pivotButton="0" quotePrefix="0" xfId="0"/>
    <xf numFmtId="0" fontId="0" fillId="0" borderId="9" pivotButton="0" quotePrefix="0" xfId="0"/>
    <xf numFmtId="0" fontId="0" fillId="0" borderId="44" pivotButton="0" quotePrefix="0" xfId="0"/>
    <xf numFmtId="0" fontId="0" fillId="0" borderId="51" pivotButton="0" quotePrefix="0" xfId="0"/>
    <xf numFmtId="0" fontId="0" fillId="0" borderId="48" pivotButton="0" quotePrefix="0" xfId="0"/>
    <xf numFmtId="0" fontId="0" fillId="0" borderId="13" pivotButton="0" quotePrefix="0" xfId="0"/>
    <xf numFmtId="0" fontId="0" fillId="0" borderId="20" pivotButton="0" quotePrefix="0" xfId="0"/>
    <xf numFmtId="0" fontId="0" fillId="0" borderId="52" pivotButton="0" quotePrefix="0" xfId="0"/>
    <xf numFmtId="0" fontId="0" fillId="0" borderId="49" pivotButton="0" quotePrefix="0" xfId="0"/>
    <xf numFmtId="0" fontId="0" fillId="0" borderId="14" pivotButton="0" quotePrefix="0" xfId="0"/>
    <xf numFmtId="0" fontId="0" fillId="0" borderId="15" pivotButton="0" quotePrefix="0" xfId="0"/>
    <xf numFmtId="0" fontId="0" fillId="0" borderId="45" pivotButton="0" quotePrefix="0" xfId="0"/>
    <xf numFmtId="0" fontId="0" fillId="0" borderId="46" pivotButton="0" quotePrefix="0" xfId="0"/>
    <xf numFmtId="0" fontId="2" fillId="15" borderId="50" applyAlignment="1" pivotButton="0" quotePrefix="0" xfId="0">
      <alignment horizontal="center" vertical="center"/>
    </xf>
    <xf numFmtId="0" fontId="0" fillId="0" borderId="8" pivotButton="0" quotePrefix="0" xfId="0"/>
    <xf numFmtId="0" fontId="2" fillId="15" borderId="2" applyAlignment="1" pivotButton="0" quotePrefix="0" xfId="0">
      <alignment horizontal="center" vertical="center"/>
    </xf>
    <xf numFmtId="0" fontId="0" fillId="0" borderId="23" pivotButton="0" quotePrefix="0" xfId="0"/>
    <xf numFmtId="165" fontId="2" fillId="15" borderId="26" applyAlignment="1" pivotButton="0" quotePrefix="0" xfId="0">
      <alignment vertical="center"/>
    </xf>
    <xf numFmtId="0" fontId="0" fillId="0" borderId="19" pivotButton="0" quotePrefix="0" xfId="0"/>
    <xf numFmtId="165" fontId="2" fillId="15" borderId="29" applyAlignment="1" pivotButton="0" quotePrefix="0" xfId="0">
      <alignment vertical="center"/>
    </xf>
    <xf numFmtId="0" fontId="0" fillId="0" borderId="16" pivotButton="0" quotePrefix="0" xfId="0"/>
    <xf numFmtId="165" fontId="1" fillId="6" borderId="6" applyAlignment="1" applyProtection="1" pivotButton="0" quotePrefix="0" xfId="1">
      <alignment horizontal="center" vertical="center"/>
      <protection locked="0" hidden="0"/>
    </xf>
    <xf numFmtId="165" fontId="1" fillId="6" borderId="7" applyAlignment="1" applyProtection="1" pivotButton="0" quotePrefix="0" xfId="1">
      <alignment horizontal="center" vertical="center"/>
      <protection locked="0" hidden="0"/>
    </xf>
    <xf numFmtId="165" fontId="1" fillId="6" borderId="8" applyAlignment="1" applyProtection="1" pivotButton="0" quotePrefix="0" xfId="1">
      <alignment horizontal="center" vertical="center"/>
      <protection locked="0" hidden="0"/>
    </xf>
    <xf numFmtId="165" fontId="0" fillId="8" borderId="0" pivotButton="0" quotePrefix="0" xfId="1"/>
    <xf numFmtId="165" fontId="0" fillId="10" borderId="0" pivotButton="0" quotePrefix="0" xfId="1"/>
    <xf numFmtId="165" fontId="0" fillId="9" borderId="0" pivotButton="0" quotePrefix="0" xfId="1"/>
    <xf numFmtId="165" fontId="0" fillId="11" borderId="0" pivotButton="0" quotePrefix="0" xfId="1"/>
    <xf numFmtId="165" fontId="0" fillId="12" borderId="0" pivotButton="0" quotePrefix="0" xfId="1"/>
    <xf numFmtId="165" fontId="1" fillId="6" borderId="11" applyAlignment="1" applyProtection="1" pivotButton="0" quotePrefix="0" xfId="1">
      <alignment horizontal="center" vertical="center"/>
      <protection locked="0" hidden="0"/>
    </xf>
    <xf numFmtId="165" fontId="1" fillId="6" borderId="0" applyAlignment="1" applyProtection="1" pivotButton="0" quotePrefix="0" xfId="1">
      <alignment horizontal="center" vertical="center"/>
      <protection locked="0" hidden="0"/>
    </xf>
    <xf numFmtId="165" fontId="1" fillId="6" borderId="9" applyAlignment="1" applyProtection="1" pivotButton="0" quotePrefix="0" xfId="1">
      <alignment horizontal="center" vertical="center"/>
      <protection locked="0" hidden="0"/>
    </xf>
    <xf numFmtId="165" fontId="1" fillId="6" borderId="5" applyAlignment="1" applyProtection="1" pivotButton="0" quotePrefix="0" xfId="1">
      <alignment horizontal="center" vertical="center"/>
      <protection locked="0" hidden="0"/>
    </xf>
    <xf numFmtId="165" fontId="0" fillId="0" borderId="0" pivotButton="0" quotePrefix="0" xfId="1"/>
    <xf numFmtId="165" fontId="0" fillId="0" borderId="0" applyProtection="1" pivotButton="0" quotePrefix="0" xfId="1">
      <protection locked="0" hidden="0"/>
    </xf>
    <xf numFmtId="165" fontId="2" fillId="3" borderId="2" applyAlignment="1" applyProtection="1" pivotButton="0" quotePrefix="0" xfId="1">
      <alignment horizontal="center" vertical="center"/>
      <protection locked="0" hidden="0"/>
    </xf>
    <xf numFmtId="165" fontId="3" fillId="2" borderId="0" applyAlignment="1" applyProtection="1" pivotButton="0" quotePrefix="0" xfId="1">
      <alignment horizontal="right" vertical="center"/>
      <protection locked="0" hidden="0"/>
    </xf>
    <xf numFmtId="165" fontId="0" fillId="0" borderId="1" applyProtection="1" pivotButton="0" quotePrefix="0" xfId="1">
      <protection locked="0" hidden="0"/>
    </xf>
    <xf numFmtId="0" fontId="0" fillId="0" borderId="19" applyProtection="1" pivotButton="0" quotePrefix="0" xfId="0">
      <protection locked="0" hidden="0"/>
    </xf>
    <xf numFmtId="165" fontId="0" fillId="8" borderId="0" applyProtection="1" pivotButton="0" quotePrefix="0" xfId="1">
      <protection locked="0" hidden="0"/>
    </xf>
    <xf numFmtId="165" fontId="0" fillId="9" borderId="0" applyProtection="1" pivotButton="0" quotePrefix="0" xfId="1">
      <protection locked="0" hidden="0"/>
    </xf>
    <xf numFmtId="43" fontId="0" fillId="9" borderId="0" applyProtection="1" pivotButton="0" quotePrefix="0" xfId="1">
      <protection locked="0" hidden="0"/>
    </xf>
    <xf numFmtId="165" fontId="0" fillId="10" borderId="0" applyProtection="1" pivotButton="0" quotePrefix="0" xfId="1">
      <protection locked="0" hidden="0"/>
    </xf>
    <xf numFmtId="165" fontId="0" fillId="4" borderId="0" applyProtection="1" pivotButton="0" quotePrefix="0" xfId="1">
      <protection locked="0" hidden="0"/>
    </xf>
    <xf numFmtId="165" fontId="0" fillId="5" borderId="0" applyProtection="1" pivotButton="0" quotePrefix="0" xfId="1">
      <protection locked="0" hidden="0"/>
    </xf>
    <xf numFmtId="165" fontId="0" fillId="6" borderId="0" applyProtection="1" pivotButton="0" quotePrefix="0" xfId="1">
      <protection locked="0" hidden="0"/>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226" bestFit="1" customWidth="1" style="104" min="1" max="1"/>
    <col width="9.140625" customWidth="1" style="104" min="2" max="16384"/>
  </cols>
  <sheetData>
    <row r="1" ht="18.75" customHeight="1">
      <c r="A1" s="103" t="inlineStr">
        <is>
          <t>This spreadsheet was created by Aaron Brown on March 17, 2019, this version March 18, 2019 with updated frequency estimates from ESPN pool data</t>
        </is>
      </c>
    </row>
    <row r="2" ht="6" customHeight="1">
      <c r="A2" s="103" t="n"/>
    </row>
    <row r="3" ht="18.75" customHeight="1">
      <c r="A3" s="103" t="inlineStr">
        <is>
          <t>It is an experimental system for using factor investing principles to make NCAA bracket pool selections</t>
        </is>
      </c>
    </row>
    <row r="4" ht="6" customHeight="1">
      <c r="A4" s="103" t="n"/>
    </row>
    <row r="5" ht="18.75" customHeight="1">
      <c r="A5" s="103" t="inlineStr">
        <is>
          <t>Use at your own risk, I make no representations about the quality of the system or the accuracy of the spreadsheet</t>
        </is>
      </c>
    </row>
    <row r="6" ht="6" customHeight="1">
      <c r="A6" s="103" t="n"/>
    </row>
    <row r="7" ht="18.75" customHeight="1">
      <c r="A7" s="103" t="inlineStr">
        <is>
          <t>Read the paper available at https://www.eraider.com/nfl-picks for important qualifications</t>
        </is>
      </c>
    </row>
    <row r="8" ht="6" customHeight="1">
      <c r="A8" s="103" t="n"/>
    </row>
    <row r="9" ht="18.75" customHeight="1">
      <c r="A9" s="103" t="inlineStr">
        <is>
          <t>Everything you need is in the Bracket tab, the other tabs are for data input or calculation</t>
        </is>
      </c>
    </row>
    <row r="10" ht="6" customHeight="1">
      <c r="A10" s="103" t="n"/>
    </row>
    <row r="11" ht="18.75" customHeight="1">
      <c r="A11" s="103" t="inlineStr">
        <is>
          <t>All cells in the workbook are protected, but without password, except the round point values at the top left of the Bracket tab</t>
        </is>
      </c>
    </row>
    <row r="12" ht="6" customHeight="1">
      <c r="A12" s="103" t="n"/>
    </row>
    <row r="13" ht="18.75" customHeight="1">
      <c r="A13" s="103" t="inlineStr">
        <is>
          <t>Protection is only to stop accidental changes, feel free to remove it and modify as you like</t>
        </is>
      </c>
    </row>
    <row r="14" ht="6" customHeight="1">
      <c r="A14" s="103" t="n"/>
    </row>
    <row r="15" ht="18.75" customHeight="1">
      <c r="A15" s="103" t="inlineStr">
        <is>
          <t>You can set your own round point values (the spreadsheet does not accommodate seed-based or other more complex scoring systems)</t>
        </is>
      </c>
    </row>
    <row r="16" ht="6" customHeight="1">
      <c r="A16" s="103" t="n"/>
    </row>
    <row r="17" ht="18.75" customHeight="1">
      <c r="A17" s="103" t="inlineStr">
        <is>
          <t>You can change anything else you like, including measures of quality, size and momentum; and slot probabilities and frequencies</t>
        </is>
      </c>
    </row>
    <row r="18" ht="6" customHeight="1">
      <c r="A18" s="103" t="n"/>
    </row>
    <row r="19" ht="18.75" customHeight="1">
      <c r="A19" s="103" t="inlineStr">
        <is>
          <t>The system gives star ratings to every slot pick, but it does not account for how many upsets you should pick</t>
        </is>
      </c>
    </row>
    <row r="20" ht="6" customHeight="1">
      <c r="A20" s="103" t="n"/>
    </row>
    <row r="21" ht="18.75" customHeight="1">
      <c r="A21" s="103" t="inlineStr">
        <is>
          <t>You can work from round 1 forward, or the champion backward, or any other way you like</t>
        </is>
      </c>
    </row>
    <row r="22" ht="6" customHeight="1">
      <c r="A22" s="103" t="n"/>
    </row>
    <row r="23" ht="93.75" customHeight="1">
      <c r="A23" s="103" t="inlineStr">
        <is>
          <t>Except perhaps in the largest pools, such as national competitions with millions of entries, picking the top star rating at every opportunity will result in far too many and too unlikely upset picksl Keep an eye on the estimated win probability. Don't use it to make picks, because it assumes that the probability and frequency tables are exactly correct. The entire point of the spreadsheet is to take advantage of deviations from those values. But the estimated win probability is useful to tell you if you have about the correct number of upset picks. If your win probability is below one over the effective pool size, you have either too many upset picks, or too unlikely upset picks. If it's too high, don't trust it for the reason given in the next paragraph. Typical good bracket selections will have expected win probabilities around two divided by the effective pool size to three divided by the expected pool size.</t>
        </is>
      </c>
    </row>
    <row r="24" ht="6" customHeight="1">
      <c r="A24" s="103" t="n"/>
    </row>
    <row r="25" ht="75" customHeight="1">
      <c r="A25" s="103" t="inlineStr">
        <is>
          <t>The system does not account for game theory considerations, such that other people in your pool may use the same or similar methodologies so your picks could be correlated. This is particularly important when interpreting the estimated win probability. For example, picking all favorites may look good, and it could be good if everyone else in the pool picked according to the frequency assumptions. But some people will pick nearly all favorites, while others will pick many longshots. So it's important to make your picks different from other people's, even if that results in a somewhat lower estimated win probability.</t>
        </is>
      </c>
    </row>
    <row r="26" ht="90.75" customHeight="1">
      <c r="A26" s="105" t="n"/>
    </row>
    <row r="27" ht="90.75" customHeight="1"/>
    <row r="28" ht="90.75" customHeight="1"/>
    <row r="29" ht="90.75" customHeight="1"/>
    <row r="30" ht="90.75"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B22" sqref="B22"/>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J85"/>
  <sheetViews>
    <sheetView tabSelected="1" workbookViewId="0">
      <selection activeCell="F18" sqref="F18"/>
    </sheetView>
  </sheetViews>
  <sheetFormatPr baseColWidth="8" defaultRowHeight="15"/>
  <cols>
    <col width="5.42578125" bestFit="1" customWidth="1" min="1" max="1"/>
    <col width="21" bestFit="1" customWidth="1" min="2" max="2"/>
    <col width="5.42578125" bestFit="1" customWidth="1" min="3" max="3"/>
    <col width="6.140625" bestFit="1" customWidth="1" min="4" max="4"/>
    <col width="7.5703125" bestFit="1" customWidth="1" min="5" max="5"/>
    <col width="5.140625" bestFit="1" customWidth="1" min="6" max="10"/>
    <col width="10.140625" bestFit="1" customWidth="1" style="6" min="11" max="12"/>
    <col width="12.28515625" bestFit="1" customWidth="1" style="6" min="13" max="13"/>
    <col width="10.42578125" bestFit="1" customWidth="1" style="6" min="14" max="14"/>
    <col width="13" bestFit="1" customWidth="1" style="6" min="15" max="15"/>
    <col width="10.140625" bestFit="1" customWidth="1" style="6" min="16" max="16"/>
    <col width="7.85546875" bestFit="1" customWidth="1" style="148" min="17" max="17"/>
    <col width="7.28515625" bestFit="1" customWidth="1" min="18" max="19"/>
    <col width="7.85546875" bestFit="1" customWidth="1" min="20" max="20"/>
    <col width="7.28515625" bestFit="1" customWidth="1" min="21" max="21"/>
    <col width="7.85546875" bestFit="1" customWidth="1" min="22" max="22"/>
    <col width="7.28515625" bestFit="1" customWidth="1" min="23" max="24"/>
    <col width="8.28515625" bestFit="1" customWidth="1" min="25" max="25"/>
    <col width="7.140625" bestFit="1" customWidth="1" min="26" max="27"/>
    <col width="8.140625" bestFit="1" customWidth="1" min="28" max="28"/>
    <col width="5.140625" bestFit="1" customWidth="1" min="29" max="36"/>
  </cols>
  <sheetData>
    <row r="1" ht="15.75" customHeight="1" thickBot="1">
      <c r="A1" s="37" t="inlineStr">
        <is>
          <t>Input parameters</t>
        </is>
      </c>
      <c r="B1" s="149" t="n"/>
      <c r="C1" s="150" t="n"/>
      <c r="D1" s="37" t="inlineStr">
        <is>
          <t>Total</t>
        </is>
      </c>
      <c r="E1" s="37" t="inlineStr">
        <is>
          <t>R64</t>
        </is>
      </c>
      <c r="F1" s="37" t="inlineStr">
        <is>
          <t>R32</t>
        </is>
      </c>
      <c r="G1" s="37" t="inlineStr">
        <is>
          <t>S16</t>
        </is>
      </c>
      <c r="H1" s="37" t="inlineStr">
        <is>
          <t>E8</t>
        </is>
      </c>
      <c r="I1" s="37" t="inlineStr">
        <is>
          <t>F4</t>
        </is>
      </c>
      <c r="J1" s="37" t="inlineStr">
        <is>
          <t>C6</t>
        </is>
      </c>
      <c r="L1" s="106" t="inlineStr">
        <is>
          <t>Your estimated chance of winning the pool</t>
        </is>
      </c>
      <c r="M1" s="151" t="n"/>
      <c r="N1" s="152" t="n"/>
      <c r="O1" s="112">
        <f>SUM(P7:AB7)</f>
        <v/>
      </c>
    </row>
    <row r="2" ht="15.75" customHeight="1" thickBot="1">
      <c r="A2" s="37" t="inlineStr">
        <is>
          <t>Points per round</t>
        </is>
      </c>
      <c r="B2" s="149" t="n"/>
      <c r="C2" s="150" t="n"/>
      <c r="D2" s="37">
        <f>32*E2+16*F2+8*G2+4*H2+2*I2+J2</f>
        <v/>
      </c>
      <c r="E2" s="95" t="n">
        <v>2</v>
      </c>
      <c r="F2" s="95" t="n">
        <v>3</v>
      </c>
      <c r="G2" s="95" t="n">
        <v>5</v>
      </c>
      <c r="H2" s="95" t="n">
        <v>8</v>
      </c>
      <c r="I2" s="95" t="n">
        <v>13</v>
      </c>
      <c r="J2" s="95" t="n">
        <v>21</v>
      </c>
      <c r="L2" s="153" t="n"/>
      <c r="N2" s="154" t="n"/>
      <c r="O2" s="155" t="n"/>
    </row>
    <row r="3" ht="15.75" customHeight="1" thickBot="1">
      <c r="A3" s="37" t="inlineStr">
        <is>
          <t>Effective pool size</t>
        </is>
      </c>
      <c r="B3" s="149" t="n"/>
      <c r="C3" s="150" t="n"/>
      <c r="D3" s="95" t="n">
        <v>100</v>
      </c>
      <c r="L3" s="156" t="n"/>
      <c r="M3" s="157" t="n"/>
      <c r="N3" s="158" t="n"/>
      <c r="O3" s="159" t="n"/>
    </row>
    <row r="4" ht="15.75" customHeight="1" thickBot="1">
      <c r="A4" s="122" t="inlineStr">
        <is>
          <t>Score distributions</t>
        </is>
      </c>
      <c r="B4" s="149" t="n"/>
      <c r="C4" s="160" t="n"/>
      <c r="D4" s="65" t="inlineStr">
        <is>
          <t>Total</t>
        </is>
      </c>
      <c r="E4" s="65" t="inlineStr">
        <is>
          <t>R64</t>
        </is>
      </c>
      <c r="F4" s="65" t="inlineStr">
        <is>
          <t>R32</t>
        </is>
      </c>
      <c r="G4" s="65" t="inlineStr">
        <is>
          <t>S16</t>
        </is>
      </c>
      <c r="H4" s="65" t="inlineStr">
        <is>
          <t>E8</t>
        </is>
      </c>
      <c r="I4" s="65" t="inlineStr">
        <is>
          <t>F4</t>
        </is>
      </c>
      <c r="J4" s="66" t="inlineStr">
        <is>
          <t>C6</t>
        </is>
      </c>
      <c r="L4" s="139" t="inlineStr">
        <is>
          <t>Probability</t>
        </is>
      </c>
      <c r="M4" s="157" t="n"/>
      <c r="N4" s="158" t="n"/>
      <c r="O4" s="94">
        <f>MIN(1,2*P4)</f>
        <v/>
      </c>
      <c r="P4" s="86">
        <f>MIN(1,2*Q4)</f>
        <v/>
      </c>
      <c r="Q4" s="86">
        <f>MIN(1,2*R4)</f>
        <v/>
      </c>
      <c r="R4" s="86">
        <f>MIN(1,2*S4)</f>
        <v/>
      </c>
      <c r="S4" s="86">
        <f>MIN(1,2*T4)</f>
        <v/>
      </c>
      <c r="T4" s="86">
        <f>MIN(1,2*U4)</f>
        <v/>
      </c>
      <c r="U4" s="86">
        <f>MIN(1,2*V4)</f>
        <v/>
      </c>
      <c r="V4" s="86">
        <f>1/D3</f>
        <v/>
      </c>
      <c r="W4" s="87">
        <f>V4/2</f>
        <v/>
      </c>
      <c r="X4" s="87">
        <f>W4/2</f>
        <v/>
      </c>
      <c r="Y4" s="87">
        <f>X4/2</f>
        <v/>
      </c>
      <c r="Z4" s="87">
        <f>Y4/2</f>
        <v/>
      </c>
      <c r="AA4" s="87">
        <f>Z4/2</f>
        <v/>
      </c>
      <c r="AB4" s="88" t="n">
        <v>0</v>
      </c>
    </row>
    <row r="5">
      <c r="A5" s="118" t="inlineStr">
        <is>
          <t>Expected points</t>
        </is>
      </c>
      <c r="B5" s="152" t="n"/>
      <c r="C5" s="67" t="inlineStr">
        <is>
          <t>You</t>
        </is>
      </c>
      <c r="D5" s="73">
        <f>SUM(E5:J5)</f>
        <v/>
      </c>
      <c r="E5" s="74">
        <f>E2*SUMPRODUCT(E14:E77,'Brackets - prob'!B2:B65)</f>
        <v/>
      </c>
      <c r="F5" s="74">
        <f>F2*SUMPRODUCT(F14:F77,'Brackets - prob'!C2:C65)</f>
        <v/>
      </c>
      <c r="G5" s="74">
        <f>G2*SUMPRODUCT(G14:G77,'Brackets - prob'!D2:D65)</f>
        <v/>
      </c>
      <c r="H5" s="74">
        <f>H2*SUMPRODUCT(H14:H77,'Brackets - prob'!E2:E65)</f>
        <v/>
      </c>
      <c r="I5" s="74">
        <f>I2*SUMPRODUCT(I14:I77,'Brackets - prob'!F2:F65)</f>
        <v/>
      </c>
      <c r="J5" s="75">
        <f>J2*SUMPRODUCT(J14:J77,'Brackets - prob'!G2:G65)</f>
        <v/>
      </c>
      <c r="L5" s="141" t="inlineStr">
        <is>
          <t>Your score deviation</t>
        </is>
      </c>
      <c r="M5" s="161" t="n"/>
      <c r="N5" s="162" t="n"/>
      <c r="O5" s="84">
        <f>-D2</f>
        <v/>
      </c>
      <c r="P5" s="84">
        <f>$D10+NORMSINV(1-P4)*$E10</f>
        <v/>
      </c>
      <c r="Q5" s="84">
        <f>$D10+NORMSINV(1-Q4)*$E10</f>
        <v/>
      </c>
      <c r="R5" s="84">
        <f>$D10+NORMSINV(1-R4)*$E10</f>
        <v/>
      </c>
      <c r="S5" s="84">
        <f>$D10+NORMSINV(1-S4)*$E10</f>
        <v/>
      </c>
      <c r="T5" s="84">
        <f>$D10+NORMSINV(1-T4)*$E10</f>
        <v/>
      </c>
      <c r="U5" s="84">
        <f>$D10+NORMSINV(1-U4)*$E10</f>
        <v/>
      </c>
      <c r="V5" s="84">
        <f>$D10+NORMSINV(1-V4)*$E10</f>
        <v/>
      </c>
      <c r="W5" s="84">
        <f>$D10+NORMSINV(1-W4)*$E10</f>
        <v/>
      </c>
      <c r="X5" s="84">
        <f>$D10+NORMSINV(1-X4)*$E10</f>
        <v/>
      </c>
      <c r="Y5" s="84">
        <f>$D10+NORMSINV(1-Y4)*$E10</f>
        <v/>
      </c>
      <c r="Z5" s="84">
        <f>$D10+NORMSINV(1-Z4)*$E10</f>
        <v/>
      </c>
      <c r="AA5" s="84">
        <f>$D10+NORMSINV(1-AA4)*$E10</f>
        <v/>
      </c>
      <c r="AB5" s="89">
        <f>D2</f>
        <v/>
      </c>
    </row>
    <row r="6" ht="15.75" customHeight="1" thickBot="1">
      <c r="A6" s="156" t="n"/>
      <c r="B6" s="158" t="n"/>
      <c r="C6" s="68" t="inlineStr">
        <is>
          <t>Field</t>
        </is>
      </c>
      <c r="D6" s="76">
        <f>SUM(E6:J6)</f>
        <v/>
      </c>
      <c r="E6" s="77">
        <f>E2*SUMPRODUCT('Brackets - prob'!B2:B65,'Brackets - freq'!B2:B65)</f>
        <v/>
      </c>
      <c r="F6" s="77">
        <f>F2*SUMPRODUCT('Brackets - prob'!C2:C65,'Brackets - freq'!C2:C65)</f>
        <v/>
      </c>
      <c r="G6" s="77">
        <f>G2*SUMPRODUCT('Brackets - prob'!D2:D65,'Brackets - freq'!D2:D65)</f>
        <v/>
      </c>
      <c r="H6" s="77">
        <f>H2*SUMPRODUCT('Brackets - prob'!E2:E65,'Brackets - freq'!E2:E65)</f>
        <v/>
      </c>
      <c r="I6" s="77">
        <f>I2*SUMPRODUCT('Brackets - prob'!F2:F65,'Brackets - freq'!F2:F65)</f>
        <v/>
      </c>
      <c r="J6" s="78">
        <f>J2*SUMPRODUCT('Brackets - prob'!G2:G65,'Brackets - freq'!G2:G65)</f>
        <v/>
      </c>
      <c r="L6" s="141" t="inlineStr">
        <is>
          <t>Pool win probability</t>
        </is>
      </c>
      <c r="M6" s="161" t="n"/>
      <c r="N6" s="162" t="n"/>
      <c r="O6" s="85" t="n">
        <v>0</v>
      </c>
      <c r="P6" s="83">
        <f>NORMDIST(P5,$D11,$E11,TRUE)^($D3-1)</f>
        <v/>
      </c>
      <c r="Q6" s="83">
        <f>NORMDIST(Q5,$D11,$E11,TRUE)^($D3-1)</f>
        <v/>
      </c>
      <c r="R6" s="83">
        <f>NORMDIST(R5,$D11,$E11,TRUE)^($D3-1)</f>
        <v/>
      </c>
      <c r="S6" s="83">
        <f>NORMDIST(S5,$D11,$E11,TRUE)^($D3-1)</f>
        <v/>
      </c>
      <c r="T6" s="83">
        <f>NORMDIST(T5,$D11,$E11,TRUE)^($D3-1)</f>
        <v/>
      </c>
      <c r="U6" s="83">
        <f>NORMDIST(U5,$D11,$E11,TRUE)^($D3-1)</f>
        <v/>
      </c>
      <c r="V6" s="83">
        <f>NORMDIST(V5,$D11,$E11,TRUE)^($D3-1)</f>
        <v/>
      </c>
      <c r="W6" s="83">
        <f>NORMDIST(W5,$D11,$E11,TRUE)^($D3-1)</f>
        <v/>
      </c>
      <c r="X6" s="83">
        <f>NORMDIST(X5,$D11,$E11,TRUE)^($D3-1)</f>
        <v/>
      </c>
      <c r="Y6" s="83">
        <f>NORMDIST(Y5,$D11,$E11,TRUE)^($D3-1)</f>
        <v/>
      </c>
      <c r="Z6" s="83">
        <f>NORMDIST(Z5,$D11,$E11,TRUE)^($D3-1)</f>
        <v/>
      </c>
      <c r="AA6" s="83">
        <f>NORMDIST(AA5,$D11,$E11,TRUE)^($D3-1)</f>
        <v/>
      </c>
      <c r="AB6" s="90" t="n">
        <v>1</v>
      </c>
    </row>
    <row r="7" ht="15.75" customHeight="1" thickBot="1">
      <c r="A7" s="118" t="inlineStr">
        <is>
          <t>Deviation variance</t>
        </is>
      </c>
      <c r="B7" s="152" t="n"/>
      <c r="C7" s="67" t="inlineStr">
        <is>
          <t>You</t>
        </is>
      </c>
      <c r="D7" s="73">
        <f>SUM(E7:J7)</f>
        <v/>
      </c>
      <c r="E7" s="74">
        <f>E2^2*SUMPRODUCT(E14:E77,'Slot calculations'!AF3:AF66)</f>
        <v/>
      </c>
      <c r="F7" s="74">
        <f>F2^2*SUMPRODUCT(F14:F77,'Slot calculations'!AG3:AG66)</f>
        <v/>
      </c>
      <c r="G7" s="74">
        <f>G2^2*SUMPRODUCT(G14:G77,'Slot calculations'!AH3:AH66)</f>
        <v/>
      </c>
      <c r="H7" s="74">
        <f>H2^2*SUMPRODUCT(H14:H77,'Slot calculations'!AI3:AI66)</f>
        <v/>
      </c>
      <c r="I7" s="74">
        <f>I2^2*SUMPRODUCT(I14:I77,'Slot calculations'!AJ3:AJ66)</f>
        <v/>
      </c>
      <c r="J7" s="75">
        <f>J2^2*SUMPRODUCT(J14:J77,'Slot calculations'!AK3:AK66)</f>
        <v/>
      </c>
      <c r="K7" s="64" t="n"/>
      <c r="L7" s="143" t="inlineStr">
        <is>
          <t>Contribution to total</t>
        </is>
      </c>
      <c r="M7" s="163" t="n"/>
      <c r="N7" s="164" t="n"/>
      <c r="O7" s="91" t="n"/>
      <c r="P7" s="92">
        <f>(O4-P4)*(O6+P6)/2</f>
        <v/>
      </c>
      <c r="Q7" s="92">
        <f>(P4-Q4)*(P6+Q6)/2</f>
        <v/>
      </c>
      <c r="R7" s="92">
        <f>(Q4-R4)*(Q6+R6)/2</f>
        <v/>
      </c>
      <c r="S7" s="92">
        <f>(R4-S4)*(R6+S6)/2</f>
        <v/>
      </c>
      <c r="T7" s="92">
        <f>(S4-T4)*(S6+T6)/2</f>
        <v/>
      </c>
      <c r="U7" s="92">
        <f>(T4-U4)*(T6+U6)/2</f>
        <v/>
      </c>
      <c r="V7" s="92">
        <f>(U4-V4)*(U6+V6)/2</f>
        <v/>
      </c>
      <c r="W7" s="92">
        <f>(V4-W4)*(V6+W6)/2</f>
        <v/>
      </c>
      <c r="X7" s="92">
        <f>(W4-X4)*(W6+X6)/2</f>
        <v/>
      </c>
      <c r="Y7" s="92">
        <f>(X4-Y4)*(X6+Y6)/2</f>
        <v/>
      </c>
      <c r="Z7" s="92">
        <f>(Y4-Z4)*(Y6+Z6)/2</f>
        <v/>
      </c>
      <c r="AA7" s="92">
        <f>(Z4-AA4)*(Z6+AA6)/2</f>
        <v/>
      </c>
      <c r="AB7" s="93">
        <f>(AA4-AB4)*(AA6+AB6)/2</f>
        <v/>
      </c>
    </row>
    <row r="8" ht="15.75" customHeight="1" thickBot="1">
      <c r="A8" s="156" t="n"/>
      <c r="B8" s="158" t="n"/>
      <c r="C8" s="68" t="inlineStr">
        <is>
          <t>Field</t>
        </is>
      </c>
      <c r="D8" s="76">
        <f>SUM(E8:J8)</f>
        <v/>
      </c>
      <c r="E8" s="77">
        <f>E2^2*SUMPRODUCT('Brackets - freq'!B2:B65,'Slot calculations'!AF3:AF66)</f>
        <v/>
      </c>
      <c r="F8" s="77">
        <f>F2^2*SUMPRODUCT('Brackets - freq'!C2:C65,'Slot calculations'!AG3:AG66)</f>
        <v/>
      </c>
      <c r="G8" s="77">
        <f>G2^2*SUMPRODUCT('Brackets - freq'!D2:D65,'Slot calculations'!AH3:AH66)</f>
        <v/>
      </c>
      <c r="H8" s="77">
        <f>H2^2*SUMPRODUCT('Brackets - freq'!E2:E65,'Slot calculations'!AI3:AI66)</f>
        <v/>
      </c>
      <c r="I8" s="77">
        <f>I2^2*SUMPRODUCT('Brackets - freq'!F2:F65,'Slot calculations'!AJ3:AJ66)</f>
        <v/>
      </c>
      <c r="J8" s="78">
        <f>J2^2*SUMPRODUCT('Brackets - freq'!G2:G65,'Slot calculations'!AK3:AK66)</f>
        <v/>
      </c>
      <c r="K8" s="64" t="n"/>
      <c r="L8" s="64" t="n"/>
    </row>
    <row r="9" ht="15.75" customHeight="1" thickBot="1">
      <c r="A9" s="165" t="n"/>
      <c r="B9" s="151" t="n"/>
      <c r="C9" s="166" t="n"/>
      <c r="D9" s="71" t="inlineStr">
        <is>
          <t>Mean</t>
        </is>
      </c>
      <c r="E9" s="72" t="inlineStr">
        <is>
          <t>Std dev</t>
        </is>
      </c>
      <c r="F9" s="62" t="n"/>
      <c r="G9" s="62" t="n"/>
      <c r="H9" s="62" t="n"/>
      <c r="I9" s="62" t="n"/>
      <c r="J9" s="62" t="n"/>
    </row>
    <row r="10">
      <c r="A10" s="167" t="inlineStr">
        <is>
          <t>Deviation parameters</t>
        </is>
      </c>
      <c r="B10" s="168" t="n"/>
      <c r="C10" s="69" t="inlineStr">
        <is>
          <t>You</t>
        </is>
      </c>
      <c r="D10" s="79">
        <f>D5-D6</f>
        <v/>
      </c>
      <c r="E10" s="169">
        <f>SQRT(D7)</f>
        <v/>
      </c>
      <c r="F10" s="62" t="n"/>
      <c r="G10" s="62" t="n"/>
      <c r="H10" s="62" t="n"/>
      <c r="I10" s="62" t="n"/>
      <c r="J10" s="62" t="n"/>
    </row>
    <row r="11" ht="15.75" customHeight="1" thickBot="1">
      <c r="A11" s="170" t="n"/>
      <c r="B11" s="158" t="n"/>
      <c r="C11" s="70" t="inlineStr">
        <is>
          <t>Field</t>
        </is>
      </c>
      <c r="D11" s="81" t="n">
        <v>0</v>
      </c>
      <c r="E11" s="171">
        <f>SQRT(D8)</f>
        <v/>
      </c>
      <c r="F11" s="62" t="n"/>
      <c r="G11" s="62" t="n"/>
      <c r="H11" s="62" t="n"/>
      <c r="I11" s="62" t="n"/>
      <c r="J11" s="62" t="n"/>
    </row>
    <row r="12">
      <c r="A12" s="132" t="inlineStr">
        <is>
          <t>Seed</t>
        </is>
      </c>
      <c r="B12" s="132" t="inlineStr">
        <is>
          <t>Team</t>
        </is>
      </c>
      <c r="C12" s="59" t="n"/>
      <c r="D12" s="59" t="n"/>
      <c r="E12" s="132" t="inlineStr">
        <is>
          <t>Picks</t>
        </is>
      </c>
      <c r="F12" s="157" t="n"/>
      <c r="G12" s="157" t="n"/>
      <c r="H12" s="157" t="n"/>
      <c r="I12" s="157" t="n"/>
      <c r="J12" s="158" t="n"/>
      <c r="K12" s="132" t="inlineStr">
        <is>
          <t>Star ratings</t>
        </is>
      </c>
      <c r="L12" s="157" t="n"/>
      <c r="M12" s="157" t="n"/>
      <c r="N12" s="157" t="n"/>
      <c r="O12" s="157" t="n"/>
      <c r="P12" s="158" t="n"/>
      <c r="Q12" s="3" t="inlineStr">
        <is>
          <t>Raw Values</t>
        </is>
      </c>
      <c r="R12" s="161" t="n"/>
      <c r="S12" s="162" t="n"/>
      <c r="T12" s="3" t="inlineStr">
        <is>
          <t>Median</t>
        </is>
      </c>
      <c r="U12" s="162" t="n"/>
      <c r="V12" s="3" t="inlineStr">
        <is>
          <t>Indicator</t>
        </is>
      </c>
      <c r="W12" s="161" t="n"/>
      <c r="X12" s="162" t="n"/>
      <c r="Y12" s="3" t="inlineStr">
        <is>
          <t>Value</t>
        </is>
      </c>
      <c r="Z12" s="161" t="n"/>
      <c r="AA12" s="161" t="n"/>
      <c r="AB12" s="161" t="n"/>
      <c r="AC12" s="161" t="n"/>
      <c r="AD12" s="162" t="n"/>
      <c r="AE12" s="3" t="inlineStr">
        <is>
          <t>BAB</t>
        </is>
      </c>
      <c r="AF12" s="161" t="n"/>
      <c r="AG12" s="161" t="n"/>
      <c r="AH12" s="161" t="n"/>
      <c r="AI12" s="161" t="n"/>
      <c r="AJ12" s="162" t="n"/>
    </row>
    <row r="13" ht="15.75" customHeight="1" thickBot="1">
      <c r="A13" s="172" t="n"/>
      <c r="B13" s="172" t="n"/>
      <c r="C13" s="131" t="n"/>
      <c r="D13" s="131" t="n"/>
      <c r="E13" s="5" t="inlineStr">
        <is>
          <t>R64</t>
        </is>
      </c>
      <c r="F13" s="5" t="inlineStr">
        <is>
          <t>R32</t>
        </is>
      </c>
      <c r="G13" s="5" t="inlineStr">
        <is>
          <t>S16</t>
        </is>
      </c>
      <c r="H13" s="5" t="inlineStr">
        <is>
          <t>E8</t>
        </is>
      </c>
      <c r="I13" s="5" t="inlineStr">
        <is>
          <t>F4</t>
        </is>
      </c>
      <c r="J13" s="5" t="inlineStr">
        <is>
          <t>C6</t>
        </is>
      </c>
      <c r="K13" s="5" t="inlineStr">
        <is>
          <t>R64</t>
        </is>
      </c>
      <c r="L13" s="5" t="inlineStr">
        <is>
          <t>R32</t>
        </is>
      </c>
      <c r="M13" s="5" t="inlineStr">
        <is>
          <t>S16</t>
        </is>
      </c>
      <c r="N13" s="5" t="inlineStr">
        <is>
          <t>E8</t>
        </is>
      </c>
      <c r="O13" s="5" t="inlineStr">
        <is>
          <t>F4</t>
        </is>
      </c>
      <c r="P13" s="5" t="inlineStr">
        <is>
          <t>C6</t>
        </is>
      </c>
      <c r="Q13" s="5" t="inlineStr">
        <is>
          <t>Quality</t>
        </is>
      </c>
      <c r="R13" s="5" t="inlineStr">
        <is>
          <t>Size</t>
        </is>
      </c>
      <c r="S13" s="5" t="inlineStr">
        <is>
          <t>Mom</t>
        </is>
      </c>
      <c r="T13" s="5" t="inlineStr">
        <is>
          <t>Quality</t>
        </is>
      </c>
      <c r="U13" s="5" t="inlineStr">
        <is>
          <t>Size</t>
        </is>
      </c>
      <c r="V13" s="5" t="inlineStr">
        <is>
          <t>Quality</t>
        </is>
      </c>
      <c r="W13" s="5" t="inlineStr">
        <is>
          <t>Size</t>
        </is>
      </c>
      <c r="X13" s="5" t="inlineStr">
        <is>
          <t>Mom</t>
        </is>
      </c>
      <c r="Y13" s="5" t="inlineStr">
        <is>
          <t>R64</t>
        </is>
      </c>
      <c r="Z13" s="5" t="inlineStr">
        <is>
          <t>R32</t>
        </is>
      </c>
      <c r="AA13" s="5" t="inlineStr">
        <is>
          <t>S16</t>
        </is>
      </c>
      <c r="AB13" s="5" t="inlineStr">
        <is>
          <t>E8</t>
        </is>
      </c>
      <c r="AC13" s="5" t="inlineStr">
        <is>
          <t>F4</t>
        </is>
      </c>
      <c r="AD13" s="5" t="inlineStr">
        <is>
          <t>C6</t>
        </is>
      </c>
      <c r="AE13" s="5" t="inlineStr">
        <is>
          <t>R64</t>
        </is>
      </c>
      <c r="AF13" s="5" t="inlineStr">
        <is>
          <t>R32</t>
        </is>
      </c>
      <c r="AG13" s="5" t="inlineStr">
        <is>
          <t>S16</t>
        </is>
      </c>
      <c r="AH13" s="5" t="inlineStr">
        <is>
          <t>E8</t>
        </is>
      </c>
      <c r="AI13" s="5" t="inlineStr">
        <is>
          <t>F4</t>
        </is>
      </c>
      <c r="AJ13" s="5" t="inlineStr">
        <is>
          <t>C6</t>
        </is>
      </c>
    </row>
    <row r="14" ht="15.75" customHeight="1">
      <c r="A14" s="3" t="n">
        <v>1</v>
      </c>
      <c r="B14" s="133" t="inlineStr">
        <is>
          <t>Duke</t>
        </is>
      </c>
      <c r="C14" s="60" t="n"/>
      <c r="D14" s="60" t="n"/>
      <c r="E14" s="173" t="n">
        <v>1</v>
      </c>
      <c r="F14" s="174" t="n">
        <v>1</v>
      </c>
      <c r="G14" s="174" t="n">
        <v>1</v>
      </c>
      <c r="H14" s="174" t="n">
        <v>1</v>
      </c>
      <c r="I14" s="174" t="n">
        <v>1</v>
      </c>
      <c r="J14" s="175" t="n">
        <v>1</v>
      </c>
      <c r="K14" s="15">
        <f>REPT(CHAR(152),SUM($V14:$X14)+Y14+AE14)</f>
        <v/>
      </c>
      <c r="L14" s="16">
        <f>REPT(CHAR(152),SUM($V14:$X14)+Z14+AF14)</f>
        <v/>
      </c>
      <c r="M14" s="16">
        <f>REPT(CHAR(152),SUM($V14:$X14)+AA14+AG14)</f>
        <v/>
      </c>
      <c r="N14" s="16">
        <f>REPT(CHAR(152),SUM($V14:$X14)+AB14+AH14)</f>
        <v/>
      </c>
      <c r="O14" s="16">
        <f>REPT(CHAR(152),SUM($V14:$X14)+AC14+AI14)</f>
        <v/>
      </c>
      <c r="P14" s="17">
        <f>REPT(CHAR(152),SUM($V14:$X14)+AD14+AJ14)</f>
        <v/>
      </c>
      <c r="Q14" s="176">
        <f>VLOOKUP(B14,Quality!A$2:B$252,2,FALSE)</f>
        <v/>
      </c>
      <c r="R14" s="176">
        <f>VLOOKUP(B14,Size!A$2:B$299,2,FALSE)</f>
        <v/>
      </c>
      <c r="S14" s="176">
        <f>VLOOKUP(B14,Mom!A$2:B$68,2,FALSE)</f>
        <v/>
      </c>
      <c r="T14" s="177">
        <f t="array" ref="T14">MEDIAN(IF($A$14:$A$77=$A14,Q$14:Q$77))</f>
        <v/>
      </c>
      <c r="U14" s="177">
        <f t="array" ref="U14">MEDIAN(IF($A$14:$A$77=$A14,R$14:R$77))</f>
        <v/>
      </c>
      <c r="V14" s="178">
        <f>IF(Q14&gt;T14,1,0)</f>
        <v/>
      </c>
      <c r="W14" s="178">
        <f>IF(R14&gt;U14,1,0)</f>
        <v/>
      </c>
      <c r="X14" s="178">
        <f>IF(OR(AND(A14&lt;9,S14&gt;3),AND(A14&gt;8,S14&lt;4)),1,0)</f>
        <v/>
      </c>
      <c r="Y14" s="179">
        <f>'Slot calculations'!BD3</f>
        <v/>
      </c>
      <c r="Z14" s="179">
        <f>'Slot calculations'!BE3</f>
        <v/>
      </c>
      <c r="AA14" s="179">
        <f>'Slot calculations'!BF3</f>
        <v/>
      </c>
      <c r="AB14" s="179">
        <f>'Slot calculations'!BG3</f>
        <v/>
      </c>
      <c r="AC14" s="179">
        <f>'Slot calculations'!BH3</f>
        <v/>
      </c>
      <c r="AD14" s="179">
        <f>'Slot calculations'!BI3</f>
        <v/>
      </c>
      <c r="AE14" s="180">
        <f>'Slot calculations'!BJ3</f>
        <v/>
      </c>
      <c r="AF14" s="180">
        <f>'Slot calculations'!BK3</f>
        <v/>
      </c>
      <c r="AG14" s="180">
        <f>'Slot calculations'!BL3</f>
        <v/>
      </c>
      <c r="AH14" s="180">
        <f>'Slot calculations'!BM3</f>
        <v/>
      </c>
      <c r="AI14" s="180">
        <f>'Slot calculations'!BN3</f>
        <v/>
      </c>
      <c r="AJ14" s="180">
        <f>'Slot calculations'!BO3</f>
        <v/>
      </c>
    </row>
    <row r="15" ht="16.5" customHeight="1" thickBot="1">
      <c r="A15" s="3" t="n">
        <v>16</v>
      </c>
      <c r="B15" s="133" t="inlineStr">
        <is>
          <t>NDS/NCC</t>
        </is>
      </c>
      <c r="C15" s="60" t="n"/>
      <c r="D15" s="60" t="n"/>
      <c r="E15" s="181" t="n">
        <v>0</v>
      </c>
      <c r="F15" s="182" t="n">
        <v>0</v>
      </c>
      <c r="G15" s="182" t="n">
        <v>0</v>
      </c>
      <c r="H15" s="182" t="n">
        <v>0</v>
      </c>
      <c r="I15" s="182" t="n">
        <v>0</v>
      </c>
      <c r="J15" s="182" t="n">
        <v>0</v>
      </c>
      <c r="K15" s="20">
        <f>REPT(CHAR(152),SUM($V15:$X15)+Y15+AE15)</f>
        <v/>
      </c>
      <c r="L15" s="7">
        <f>REPT(CHAR(152),SUM($V15:$X15)+Z15+AF15)</f>
        <v/>
      </c>
      <c r="M15" s="7">
        <f>REPT(CHAR(152),SUM($V15:$X15)+AA15+AG15)</f>
        <v/>
      </c>
      <c r="N15" s="7">
        <f>REPT(CHAR(152),SUM($V15:$X15)+AB15+AH15)</f>
        <v/>
      </c>
      <c r="O15" s="7">
        <f>REPT(CHAR(152),SUM($V15:$X15)+AC15+AI15)</f>
        <v/>
      </c>
      <c r="P15" s="19">
        <f>REPT(CHAR(152),SUM($V15:$X15)+AD15+AJ15)</f>
        <v/>
      </c>
      <c r="Q15" s="176">
        <f>(Q78+Q79)/2</f>
        <v/>
      </c>
      <c r="R15" s="176">
        <f>(R78+R79)/2</f>
        <v/>
      </c>
      <c r="S15" s="176">
        <f>(S78+S79)/2</f>
        <v/>
      </c>
      <c r="T15" s="177">
        <f t="array" ref="T15">MEDIAN(IF($A$14:$A$77=$A15,Q$14:Q$77))</f>
        <v/>
      </c>
      <c r="U15" s="177">
        <f t="array" ref="U15">MEDIAN(IF($A$14:$A$77=$A15,R$14:R$77))</f>
        <v/>
      </c>
      <c r="V15" s="178">
        <f>IF(Q15&gt;T15,1,0)</f>
        <v/>
      </c>
      <c r="W15" s="178">
        <f>IF(R15&gt;U15,1,0)</f>
        <v/>
      </c>
      <c r="X15" s="178">
        <f>IF(OR(AND(A15&lt;9,S15&gt;3),AND(A15&gt;8,S15&lt;4)),1,0)</f>
        <v/>
      </c>
      <c r="Y15" s="179">
        <f>'Slot calculations'!BD4</f>
        <v/>
      </c>
      <c r="Z15" s="179">
        <f>'Slot calculations'!BE4</f>
        <v/>
      </c>
      <c r="AA15" s="179">
        <f>'Slot calculations'!BF4</f>
        <v/>
      </c>
      <c r="AB15" s="179">
        <f>'Slot calculations'!BG4</f>
        <v/>
      </c>
      <c r="AC15" s="179">
        <f>'Slot calculations'!BH4</f>
        <v/>
      </c>
      <c r="AD15" s="179">
        <f>'Slot calculations'!BI4</f>
        <v/>
      </c>
      <c r="AE15" s="180">
        <f>'Slot calculations'!BJ4</f>
        <v/>
      </c>
      <c r="AF15" s="180">
        <f>'Slot calculations'!BK4</f>
        <v/>
      </c>
      <c r="AG15" s="180">
        <f>'Slot calculations'!BL4</f>
        <v/>
      </c>
      <c r="AH15" s="180">
        <f>'Slot calculations'!BM4</f>
        <v/>
      </c>
      <c r="AI15" s="180">
        <f>'Slot calculations'!BN4</f>
        <v/>
      </c>
      <c r="AJ15" s="180">
        <f>'Slot calculations'!BO4</f>
        <v/>
      </c>
    </row>
    <row r="16" ht="15.75" customHeight="1">
      <c r="A16" s="3" t="n">
        <v>8</v>
      </c>
      <c r="B16" s="133" t="inlineStr">
        <is>
          <t>VCU</t>
        </is>
      </c>
      <c r="C16" s="60" t="n"/>
      <c r="D16" s="60" t="n"/>
      <c r="E16" s="183" t="n">
        <v>1</v>
      </c>
      <c r="F16" s="182" t="n">
        <v>0</v>
      </c>
      <c r="G16" s="182" t="n">
        <v>0</v>
      </c>
      <c r="H16" s="182" t="n">
        <v>0</v>
      </c>
      <c r="I16" s="182" t="n">
        <v>0</v>
      </c>
      <c r="J16" s="182" t="n">
        <v>0</v>
      </c>
      <c r="K16" s="18">
        <f>REPT(CHAR(152),SUM($V16:$X16)+Y16+AE16)</f>
        <v/>
      </c>
      <c r="L16" s="7">
        <f>REPT(CHAR(152),SUM($V16:$X16)+Z16+AF16)</f>
        <v/>
      </c>
      <c r="M16" s="7">
        <f>REPT(CHAR(152),SUM($V16:$X16)+AA16+AG16)</f>
        <v/>
      </c>
      <c r="N16" s="7">
        <f>REPT(CHAR(152),SUM($V16:$X16)+AB16+AH16)</f>
        <v/>
      </c>
      <c r="O16" s="7">
        <f>REPT(CHAR(152),SUM($V16:$X16)+AC16+AI16)</f>
        <v/>
      </c>
      <c r="P16" s="19">
        <f>REPT(CHAR(152),SUM($V16:$X16)+AD16+AJ16)</f>
        <v/>
      </c>
      <c r="Q16" s="176">
        <f>VLOOKUP(B16,Quality!A$2:B$252,2,FALSE)</f>
        <v/>
      </c>
      <c r="R16" s="176">
        <f>VLOOKUP(B16,Size!A$2:B$299,2,FALSE)</f>
        <v/>
      </c>
      <c r="S16" s="176">
        <f>VLOOKUP(B16,Mom!A$2:B$68,2,FALSE)</f>
        <v/>
      </c>
      <c r="T16" s="177">
        <f t="array" ref="T16">MEDIAN(IF($A$14:$A$77=$A16,Q$14:Q$77))</f>
        <v/>
      </c>
      <c r="U16" s="177">
        <f t="array" ref="U16">MEDIAN(IF($A$14:$A$77=$A16,R$14:R$77))</f>
        <v/>
      </c>
      <c r="V16" s="178">
        <f>IF(Q16&gt;T16,1,0)</f>
        <v/>
      </c>
      <c r="W16" s="178">
        <f>IF(R16&gt;U16,1,0)</f>
        <v/>
      </c>
      <c r="X16" s="178">
        <f>IF(OR(AND(A16&lt;9,S16&gt;3),AND(A16&gt;8,S16&lt;4)),1,0)</f>
        <v/>
      </c>
      <c r="Y16" s="179">
        <f>'Slot calculations'!BD5</f>
        <v/>
      </c>
      <c r="Z16" s="179">
        <f>'Slot calculations'!BE5</f>
        <v/>
      </c>
      <c r="AA16" s="179">
        <f>'Slot calculations'!BF5</f>
        <v/>
      </c>
      <c r="AB16" s="179">
        <f>'Slot calculations'!BG5</f>
        <v/>
      </c>
      <c r="AC16" s="179">
        <f>'Slot calculations'!BH5</f>
        <v/>
      </c>
      <c r="AD16" s="179">
        <f>'Slot calculations'!BI5</f>
        <v/>
      </c>
      <c r="AE16" s="180">
        <f>'Slot calculations'!BJ5</f>
        <v/>
      </c>
      <c r="AF16" s="180">
        <f>'Slot calculations'!BK5</f>
        <v/>
      </c>
      <c r="AG16" s="180">
        <f>'Slot calculations'!BL5</f>
        <v/>
      </c>
      <c r="AH16" s="180">
        <f>'Slot calculations'!BM5</f>
        <v/>
      </c>
      <c r="AI16" s="180">
        <f>'Slot calculations'!BN5</f>
        <v/>
      </c>
      <c r="AJ16" s="180">
        <f>'Slot calculations'!BO5</f>
        <v/>
      </c>
    </row>
    <row r="17" ht="16.5" customHeight="1" thickBot="1">
      <c r="A17" s="3" t="n">
        <v>9</v>
      </c>
      <c r="B17" s="133" t="inlineStr">
        <is>
          <t>UCF</t>
        </is>
      </c>
      <c r="C17" s="60" t="n"/>
      <c r="D17" s="60" t="n"/>
      <c r="E17" s="181" t="n">
        <v>0</v>
      </c>
      <c r="F17" s="184" t="n">
        <v>0</v>
      </c>
      <c r="G17" s="182" t="n">
        <v>0</v>
      </c>
      <c r="H17" s="182" t="n">
        <v>0</v>
      </c>
      <c r="I17" s="182" t="n">
        <v>0</v>
      </c>
      <c r="J17" s="182" t="n">
        <v>0</v>
      </c>
      <c r="K17" s="20">
        <f>REPT(CHAR(152),SUM($V17:$X17)+Y17+AE17)</f>
        <v/>
      </c>
      <c r="L17" s="11">
        <f>REPT(CHAR(152),SUM($V17:$X17)+Z17+AF17)</f>
        <v/>
      </c>
      <c r="M17" s="7">
        <f>REPT(CHAR(152),SUM($V17:$X17)+AA17+AG17)</f>
        <v/>
      </c>
      <c r="N17" s="7">
        <f>REPT(CHAR(152),SUM($V17:$X17)+AB17+AH17)</f>
        <v/>
      </c>
      <c r="O17" s="7">
        <f>REPT(CHAR(152),SUM($V17:$X17)+AC17+AI17)</f>
        <v/>
      </c>
      <c r="P17" s="19">
        <f>REPT(CHAR(152),SUM($V17:$X17)+AD17+AJ17)</f>
        <v/>
      </c>
      <c r="Q17" s="176">
        <f>VLOOKUP(B17,Quality!A$2:B$252,2,FALSE)</f>
        <v/>
      </c>
      <c r="R17" s="176">
        <f>VLOOKUP(B17,Size!A$2:B$299,2,FALSE)</f>
        <v/>
      </c>
      <c r="S17" s="176">
        <f>VLOOKUP(B17,Mom!A$2:B$68,2,FALSE)</f>
        <v/>
      </c>
      <c r="T17" s="177">
        <f t="array" ref="T17">MEDIAN(IF($A$14:$A$77=$A17,Q$14:Q$77))</f>
        <v/>
      </c>
      <c r="U17" s="177">
        <f t="array" ref="U17">MEDIAN(IF($A$14:$A$77=$A17,R$14:R$77))</f>
        <v/>
      </c>
      <c r="V17" s="178">
        <f>IF(Q17&gt;T17,1,0)</f>
        <v/>
      </c>
      <c r="W17" s="178">
        <f>IF(R17&gt;U17,1,0)</f>
        <v/>
      </c>
      <c r="X17" s="178">
        <f>IF(OR(AND(A17&lt;9,S17&gt;3),AND(A17&gt;8,S17&lt;4)),1,0)</f>
        <v/>
      </c>
      <c r="Y17" s="179">
        <f>'Slot calculations'!BD6</f>
        <v/>
      </c>
      <c r="Z17" s="179">
        <f>'Slot calculations'!BE6</f>
        <v/>
      </c>
      <c r="AA17" s="179">
        <f>'Slot calculations'!BF6</f>
        <v/>
      </c>
      <c r="AB17" s="179">
        <f>'Slot calculations'!BG6</f>
        <v/>
      </c>
      <c r="AC17" s="179">
        <f>'Slot calculations'!BH6</f>
        <v/>
      </c>
      <c r="AD17" s="179">
        <f>'Slot calculations'!BI6</f>
        <v/>
      </c>
      <c r="AE17" s="180">
        <f>'Slot calculations'!BJ6</f>
        <v/>
      </c>
      <c r="AF17" s="180">
        <f>'Slot calculations'!BK6</f>
        <v/>
      </c>
      <c r="AG17" s="180">
        <f>'Slot calculations'!BL6</f>
        <v/>
      </c>
      <c r="AH17" s="180">
        <f>'Slot calculations'!BM6</f>
        <v/>
      </c>
      <c r="AI17" s="180">
        <f>'Slot calculations'!BN6</f>
        <v/>
      </c>
      <c r="AJ17" s="180">
        <f>'Slot calculations'!BO6</f>
        <v/>
      </c>
    </row>
    <row r="18" ht="15.75" customHeight="1">
      <c r="A18" s="3" t="n">
        <v>5</v>
      </c>
      <c r="B18" s="133" t="inlineStr">
        <is>
          <t>Mississippi State</t>
        </is>
      </c>
      <c r="C18" s="60" t="n"/>
      <c r="D18" s="60" t="n"/>
      <c r="E18" s="183" t="n">
        <v>1</v>
      </c>
      <c r="F18" s="182" t="n">
        <v>1</v>
      </c>
      <c r="G18" s="182" t="n">
        <v>0</v>
      </c>
      <c r="H18" s="182" t="n">
        <v>0</v>
      </c>
      <c r="I18" s="182" t="n">
        <v>0</v>
      </c>
      <c r="J18" s="182" t="n">
        <v>0</v>
      </c>
      <c r="K18" s="18">
        <f>REPT(CHAR(152),SUM($V18:$X18)+Y18+AE18)</f>
        <v/>
      </c>
      <c r="L18" s="7">
        <f>REPT(CHAR(152),SUM($V18:$X18)+Z18+AF18)</f>
        <v/>
      </c>
      <c r="M18" s="7">
        <f>REPT(CHAR(152),SUM($V18:$X18)+AA18+AG18)</f>
        <v/>
      </c>
      <c r="N18" s="7">
        <f>REPT(CHAR(152),SUM($V18:$X18)+AB18+AH18)</f>
        <v/>
      </c>
      <c r="O18" s="7">
        <f>REPT(CHAR(152),SUM($V18:$X18)+AC18+AI18)</f>
        <v/>
      </c>
      <c r="P18" s="19">
        <f>REPT(CHAR(152),SUM($V18:$X18)+AD18+AJ18)</f>
        <v/>
      </c>
      <c r="Q18" s="176">
        <f>VLOOKUP(B18,Quality!A$2:B$252,2,FALSE)</f>
        <v/>
      </c>
      <c r="R18" s="176">
        <f>VLOOKUP(B18,Size!A$2:B$299,2,FALSE)</f>
        <v/>
      </c>
      <c r="S18" s="176">
        <f>VLOOKUP(B18,Mom!A$2:B$68,2,FALSE)</f>
        <v/>
      </c>
      <c r="T18" s="177">
        <f t="array" ref="T18">MEDIAN(IF($A$14:$A$77=$A18,Q$14:Q$77))</f>
        <v/>
      </c>
      <c r="U18" s="177">
        <f t="array" ref="U18">MEDIAN(IF($A$14:$A$77=$A18,R$14:R$77))</f>
        <v/>
      </c>
      <c r="V18" s="178">
        <f>IF(Q18&gt;T18,1,0)</f>
        <v/>
      </c>
      <c r="W18" s="178">
        <f>IF(R18&gt;U18,1,0)</f>
        <v/>
      </c>
      <c r="X18" s="178">
        <f>IF(OR(AND(A18&lt;9,S18&gt;3),AND(A18&gt;8,S18&lt;4)),1,0)</f>
        <v/>
      </c>
      <c r="Y18" s="179">
        <f>'Slot calculations'!BD7</f>
        <v/>
      </c>
      <c r="Z18" s="179">
        <f>'Slot calculations'!BE7</f>
        <v/>
      </c>
      <c r="AA18" s="179">
        <f>'Slot calculations'!BF7</f>
        <v/>
      </c>
      <c r="AB18" s="179">
        <f>'Slot calculations'!BG7</f>
        <v/>
      </c>
      <c r="AC18" s="179">
        <f>'Slot calculations'!BH7</f>
        <v/>
      </c>
      <c r="AD18" s="179">
        <f>'Slot calculations'!BI7</f>
        <v/>
      </c>
      <c r="AE18" s="180">
        <f>'Slot calculations'!BJ7</f>
        <v/>
      </c>
      <c r="AF18" s="180">
        <f>'Slot calculations'!BK7</f>
        <v/>
      </c>
      <c r="AG18" s="180">
        <f>'Slot calculations'!BL7</f>
        <v/>
      </c>
      <c r="AH18" s="180">
        <f>'Slot calculations'!BM7</f>
        <v/>
      </c>
      <c r="AI18" s="180">
        <f>'Slot calculations'!BN7</f>
        <v/>
      </c>
      <c r="AJ18" s="180">
        <f>'Slot calculations'!BO7</f>
        <v/>
      </c>
    </row>
    <row r="19" ht="16.5" customHeight="1" thickBot="1">
      <c r="A19" s="3" t="n">
        <v>12</v>
      </c>
      <c r="B19" s="133" t="inlineStr">
        <is>
          <t>Liberty</t>
        </is>
      </c>
      <c r="C19" s="60" t="n"/>
      <c r="D19" s="60" t="n"/>
      <c r="E19" s="181" t="n">
        <v>0</v>
      </c>
      <c r="F19" s="182" t="n">
        <v>0</v>
      </c>
      <c r="G19" s="182" t="n">
        <v>0</v>
      </c>
      <c r="H19" s="182" t="n">
        <v>0</v>
      </c>
      <c r="I19" s="182" t="n">
        <v>0</v>
      </c>
      <c r="J19" s="182" t="n">
        <v>0</v>
      </c>
      <c r="K19" s="20">
        <f>REPT(CHAR(152),SUM($V19:$X19)+Y19+AE19)</f>
        <v/>
      </c>
      <c r="L19" s="7">
        <f>REPT(CHAR(152),SUM($V19:$X19)+Z19+AF19)</f>
        <v/>
      </c>
      <c r="M19" s="7">
        <f>REPT(CHAR(152),SUM($V19:$X19)+AA19+AG19)</f>
        <v/>
      </c>
      <c r="N19" s="7">
        <f>REPT(CHAR(152),SUM($V19:$X19)+AB19+AH19)</f>
        <v/>
      </c>
      <c r="O19" s="7">
        <f>REPT(CHAR(152),SUM($V19:$X19)+AC19+AI19)</f>
        <v/>
      </c>
      <c r="P19" s="19">
        <f>REPT(CHAR(152),SUM($V19:$X19)+AD19+AJ19)</f>
        <v/>
      </c>
      <c r="Q19" s="176">
        <f>VLOOKUP(B19,Quality!A$2:B$252,2,FALSE)</f>
        <v/>
      </c>
      <c r="R19" s="176">
        <f>VLOOKUP(B19,Size!A$2:B$299,2,FALSE)</f>
        <v/>
      </c>
      <c r="S19" s="176">
        <f>VLOOKUP(B19,Mom!A$2:B$68,2,FALSE)</f>
        <v/>
      </c>
      <c r="T19" s="177">
        <f t="array" ref="T19">MEDIAN(IF($A$14:$A$77=$A19,Q$14:Q$77))</f>
        <v/>
      </c>
      <c r="U19" s="177">
        <f t="array" ref="U19">MEDIAN(IF($A$14:$A$77=$A19,R$14:R$77))</f>
        <v/>
      </c>
      <c r="V19" s="178">
        <f>IF(Q19&gt;T19,1,0)</f>
        <v/>
      </c>
      <c r="W19" s="178">
        <f>IF(R19&gt;U19,1,0)</f>
        <v/>
      </c>
      <c r="X19" s="178">
        <f>IF(OR(AND(A19&lt;9,S19&gt;3),AND(A19&gt;8,S19&lt;4)),1,0)</f>
        <v/>
      </c>
      <c r="Y19" s="179">
        <f>'Slot calculations'!BD8</f>
        <v/>
      </c>
      <c r="Z19" s="179">
        <f>'Slot calculations'!BE8</f>
        <v/>
      </c>
      <c r="AA19" s="179">
        <f>'Slot calculations'!BF8</f>
        <v/>
      </c>
      <c r="AB19" s="179">
        <f>'Slot calculations'!BG8</f>
        <v/>
      </c>
      <c r="AC19" s="179">
        <f>'Slot calculations'!BH8</f>
        <v/>
      </c>
      <c r="AD19" s="179">
        <f>'Slot calculations'!BI8</f>
        <v/>
      </c>
      <c r="AE19" s="180">
        <f>'Slot calculations'!BJ8</f>
        <v/>
      </c>
      <c r="AF19" s="180">
        <f>'Slot calculations'!BK8</f>
        <v/>
      </c>
      <c r="AG19" s="180">
        <f>'Slot calculations'!BL8</f>
        <v/>
      </c>
      <c r="AH19" s="180">
        <f>'Slot calculations'!BM8</f>
        <v/>
      </c>
      <c r="AI19" s="180">
        <f>'Slot calculations'!BN8</f>
        <v/>
      </c>
      <c r="AJ19" s="180">
        <f>'Slot calculations'!BO8</f>
        <v/>
      </c>
    </row>
    <row r="20" ht="15.75" customHeight="1">
      <c r="A20" s="3" t="n">
        <v>4</v>
      </c>
      <c r="B20" s="133" t="inlineStr">
        <is>
          <t>Virginia Tech</t>
        </is>
      </c>
      <c r="C20" s="60" t="n"/>
      <c r="D20" s="60" t="n"/>
      <c r="E20" s="183" t="n">
        <v>1</v>
      </c>
      <c r="F20" s="182" t="n">
        <v>0</v>
      </c>
      <c r="G20" s="182" t="n">
        <v>0</v>
      </c>
      <c r="H20" s="182" t="n">
        <v>0</v>
      </c>
      <c r="I20" s="182" t="n">
        <v>0</v>
      </c>
      <c r="J20" s="182" t="n">
        <v>0</v>
      </c>
      <c r="K20" s="18">
        <f>REPT(CHAR(152),SUM($V20:$X20)+Y20+AE20)</f>
        <v/>
      </c>
      <c r="L20" s="7">
        <f>REPT(CHAR(152),SUM($V20:$X20)+Z20+AF20)</f>
        <v/>
      </c>
      <c r="M20" s="7">
        <f>REPT(CHAR(152),SUM($V20:$X20)+AA20+AG20)</f>
        <v/>
      </c>
      <c r="N20" s="7">
        <f>REPT(CHAR(152),SUM($V20:$X20)+AB20+AH20)</f>
        <v/>
      </c>
      <c r="O20" s="7">
        <f>REPT(CHAR(152),SUM($V20:$X20)+AC20+AI20)</f>
        <v/>
      </c>
      <c r="P20" s="19">
        <f>REPT(CHAR(152),SUM($V20:$X20)+AD20+AJ20)</f>
        <v/>
      </c>
      <c r="Q20" s="176">
        <f>VLOOKUP(B20,Quality!A$2:B$252,2,FALSE)</f>
        <v/>
      </c>
      <c r="R20" s="176">
        <f>VLOOKUP(B20,Size!A$2:B$299,2,FALSE)</f>
        <v/>
      </c>
      <c r="S20" s="176">
        <f>VLOOKUP(B20,Mom!A$2:B$68,2,FALSE)</f>
        <v/>
      </c>
      <c r="T20" s="177">
        <f t="array" ref="T20">MEDIAN(IF($A$14:$A$77=$A20,Q$14:Q$77))</f>
        <v/>
      </c>
      <c r="U20" s="177">
        <f t="array" ref="U20">MEDIAN(IF($A$14:$A$77=$A20,R$14:R$77))</f>
        <v/>
      </c>
      <c r="V20" s="178">
        <f>IF(Q20&gt;T20,1,0)</f>
        <v/>
      </c>
      <c r="W20" s="178">
        <f>IF(R20&gt;U20,1,0)</f>
        <v/>
      </c>
      <c r="X20" s="178">
        <f>IF(OR(AND(A20&lt;9,S20&gt;3),AND(A20&gt;8,S20&lt;4)),1,0)</f>
        <v/>
      </c>
      <c r="Y20" s="179">
        <f>'Slot calculations'!BD9</f>
        <v/>
      </c>
      <c r="Z20" s="179">
        <f>'Slot calculations'!BE9</f>
        <v/>
      </c>
      <c r="AA20" s="179">
        <f>'Slot calculations'!BF9</f>
        <v/>
      </c>
      <c r="AB20" s="179">
        <f>'Slot calculations'!BG9</f>
        <v/>
      </c>
      <c r="AC20" s="179">
        <f>'Slot calculations'!BH9</f>
        <v/>
      </c>
      <c r="AD20" s="179">
        <f>'Slot calculations'!BI9</f>
        <v/>
      </c>
      <c r="AE20" s="180">
        <f>'Slot calculations'!BJ9</f>
        <v/>
      </c>
      <c r="AF20" s="180">
        <f>'Slot calculations'!BK9</f>
        <v/>
      </c>
      <c r="AG20" s="180">
        <f>'Slot calculations'!BL9</f>
        <v/>
      </c>
      <c r="AH20" s="180">
        <f>'Slot calculations'!BM9</f>
        <v/>
      </c>
      <c r="AI20" s="180">
        <f>'Slot calculations'!BN9</f>
        <v/>
      </c>
      <c r="AJ20" s="180">
        <f>'Slot calculations'!BO9</f>
        <v/>
      </c>
    </row>
    <row r="21" ht="16.5" customHeight="1" thickBot="1">
      <c r="A21" s="3" t="n">
        <v>13</v>
      </c>
      <c r="B21" s="133" t="inlineStr">
        <is>
          <t>Saint Louis</t>
        </is>
      </c>
      <c r="C21" s="60" t="n"/>
      <c r="D21" s="60" t="n"/>
      <c r="E21" s="181" t="n">
        <v>0</v>
      </c>
      <c r="F21" s="184" t="n">
        <v>0</v>
      </c>
      <c r="G21" s="184" t="n">
        <v>0</v>
      </c>
      <c r="H21" s="182" t="n">
        <v>0</v>
      </c>
      <c r="I21" s="182" t="n">
        <v>0</v>
      </c>
      <c r="J21" s="182" t="n">
        <v>0</v>
      </c>
      <c r="K21" s="20">
        <f>REPT(CHAR(152),SUM($V21:$X21)+Y21+AE21)</f>
        <v/>
      </c>
      <c r="L21" s="11">
        <f>REPT(CHAR(152),SUM($V21:$X21)+Z21+AF21)</f>
        <v/>
      </c>
      <c r="M21" s="11">
        <f>REPT(CHAR(152),SUM($V21:$X21)+AA21+AG21)</f>
        <v/>
      </c>
      <c r="N21" s="7">
        <f>REPT(CHAR(152),SUM($V21:$X21)+AB21+AH21)</f>
        <v/>
      </c>
      <c r="O21" s="7">
        <f>REPT(CHAR(152),SUM($V21:$X21)+AC21+AI21)</f>
        <v/>
      </c>
      <c r="P21" s="19">
        <f>REPT(CHAR(152),SUM($V21:$X21)+AD21+AJ21)</f>
        <v/>
      </c>
      <c r="Q21" s="176">
        <f>VLOOKUP(B21,Quality!A$2:B$252,2,FALSE)</f>
        <v/>
      </c>
      <c r="R21" s="176">
        <f>VLOOKUP(B21,Size!A$2:B$299,2,FALSE)</f>
        <v/>
      </c>
      <c r="S21" s="176">
        <f>VLOOKUP(B21,Mom!A$2:B$68,2,FALSE)</f>
        <v/>
      </c>
      <c r="T21" s="177">
        <f t="array" ref="T21">MEDIAN(IF($A$14:$A$77=$A21,Q$14:Q$77))</f>
        <v/>
      </c>
      <c r="U21" s="177">
        <f t="array" ref="U21">MEDIAN(IF($A$14:$A$77=$A21,R$14:R$77))</f>
        <v/>
      </c>
      <c r="V21" s="178">
        <f>IF(Q21&gt;T21,1,0)</f>
        <v/>
      </c>
      <c r="W21" s="178">
        <f>IF(R21&gt;U21,1,0)</f>
        <v/>
      </c>
      <c r="X21" s="178">
        <f>IF(OR(AND(A21&lt;9,S21&gt;3),AND(A21&gt;8,S21&lt;4)),1,0)</f>
        <v/>
      </c>
      <c r="Y21" s="179">
        <f>'Slot calculations'!BD10</f>
        <v/>
      </c>
      <c r="Z21" s="179">
        <f>'Slot calculations'!BE10</f>
        <v/>
      </c>
      <c r="AA21" s="179">
        <f>'Slot calculations'!BF10</f>
        <v/>
      </c>
      <c r="AB21" s="179">
        <f>'Slot calculations'!BG10</f>
        <v/>
      </c>
      <c r="AC21" s="179">
        <f>'Slot calculations'!BH10</f>
        <v/>
      </c>
      <c r="AD21" s="179">
        <f>'Slot calculations'!BI10</f>
        <v/>
      </c>
      <c r="AE21" s="180">
        <f>'Slot calculations'!BJ10</f>
        <v/>
      </c>
      <c r="AF21" s="180">
        <f>'Slot calculations'!BK10</f>
        <v/>
      </c>
      <c r="AG21" s="180">
        <f>'Slot calculations'!BL10</f>
        <v/>
      </c>
      <c r="AH21" s="180">
        <f>'Slot calculations'!BM10</f>
        <v/>
      </c>
      <c r="AI21" s="180">
        <f>'Slot calculations'!BN10</f>
        <v/>
      </c>
      <c r="AJ21" s="180">
        <f>'Slot calculations'!BO10</f>
        <v/>
      </c>
    </row>
    <row r="22" ht="15.75" customHeight="1">
      <c r="A22" s="3" t="n">
        <v>6</v>
      </c>
      <c r="B22" s="133" t="inlineStr">
        <is>
          <t>Maryland</t>
        </is>
      </c>
      <c r="C22" s="60" t="n"/>
      <c r="D22" s="60" t="n"/>
      <c r="E22" s="183" t="n">
        <v>1</v>
      </c>
      <c r="F22" s="182" t="n">
        <v>1</v>
      </c>
      <c r="G22" s="182" t="n">
        <v>1</v>
      </c>
      <c r="H22" s="182" t="n">
        <v>0</v>
      </c>
      <c r="I22" s="182" t="n">
        <v>0</v>
      </c>
      <c r="J22" s="182" t="n">
        <v>0</v>
      </c>
      <c r="K22" s="18">
        <f>REPT(CHAR(152),SUM($V22:$X22)+Y22+AE22)</f>
        <v/>
      </c>
      <c r="L22" s="7">
        <f>REPT(CHAR(152),SUM($V22:$X22)+Z22+AF22)</f>
        <v/>
      </c>
      <c r="M22" s="7">
        <f>REPT(CHAR(152),SUM($V22:$X22)+AA22+AG22)</f>
        <v/>
      </c>
      <c r="N22" s="7">
        <f>REPT(CHAR(152),SUM($V22:$X22)+AB22+AH22)</f>
        <v/>
      </c>
      <c r="O22" s="7">
        <f>REPT(CHAR(152),SUM($V22:$X22)+AC22+AI22)</f>
        <v/>
      </c>
      <c r="P22" s="19">
        <f>REPT(CHAR(152),SUM($V22:$X22)+AD22+AJ22)</f>
        <v/>
      </c>
      <c r="Q22" s="176">
        <f>VLOOKUP(B22,Quality!A$2:B$252,2,FALSE)</f>
        <v/>
      </c>
      <c r="R22" s="176">
        <f>VLOOKUP(B22,Size!A$2:B$299,2,FALSE)</f>
        <v/>
      </c>
      <c r="S22" s="176">
        <f>VLOOKUP(B22,Mom!A$2:B$68,2,FALSE)</f>
        <v/>
      </c>
      <c r="T22" s="177">
        <f t="array" ref="T22">MEDIAN(IF($A$14:$A$77=$A22,Q$14:Q$77))</f>
        <v/>
      </c>
      <c r="U22" s="177">
        <f t="array" ref="U22">MEDIAN(IF($A$14:$A$77=$A22,R$14:R$77))</f>
        <v/>
      </c>
      <c r="V22" s="178">
        <f>IF(Q22&gt;T22,1,0)</f>
        <v/>
      </c>
      <c r="W22" s="178">
        <f>IF(R22&gt;U22,1,0)</f>
        <v/>
      </c>
      <c r="X22" s="178">
        <f>IF(OR(AND(A22&lt;9,S22&gt;3),AND(A22&gt;8,S22&lt;4)),1,0)</f>
        <v/>
      </c>
      <c r="Y22" s="179">
        <f>'Slot calculations'!BD11</f>
        <v/>
      </c>
      <c r="Z22" s="179">
        <f>'Slot calculations'!BE11</f>
        <v/>
      </c>
      <c r="AA22" s="179">
        <f>'Slot calculations'!BF11</f>
        <v/>
      </c>
      <c r="AB22" s="179">
        <f>'Slot calculations'!BG11</f>
        <v/>
      </c>
      <c r="AC22" s="179">
        <f>'Slot calculations'!BH11</f>
        <v/>
      </c>
      <c r="AD22" s="179">
        <f>'Slot calculations'!BI11</f>
        <v/>
      </c>
      <c r="AE22" s="180">
        <f>'Slot calculations'!BJ11</f>
        <v/>
      </c>
      <c r="AF22" s="180">
        <f>'Slot calculations'!BK11</f>
        <v/>
      </c>
      <c r="AG22" s="180">
        <f>'Slot calculations'!BL11</f>
        <v/>
      </c>
      <c r="AH22" s="180">
        <f>'Slot calculations'!BM11</f>
        <v/>
      </c>
      <c r="AI22" s="180">
        <f>'Slot calculations'!BN11</f>
        <v/>
      </c>
      <c r="AJ22" s="180">
        <f>'Slot calculations'!BO11</f>
        <v/>
      </c>
    </row>
    <row r="23" ht="16.5" customHeight="1" thickBot="1">
      <c r="A23" s="3" t="n">
        <v>11</v>
      </c>
      <c r="B23" s="133" t="inlineStr">
        <is>
          <t>Bel/Tem</t>
        </is>
      </c>
      <c r="C23" s="60" t="n"/>
      <c r="D23" s="60" t="n"/>
      <c r="E23" s="181" t="n">
        <v>0</v>
      </c>
      <c r="F23" s="182" t="n">
        <v>0</v>
      </c>
      <c r="G23" s="182" t="n">
        <v>0</v>
      </c>
      <c r="H23" s="182" t="n">
        <v>0</v>
      </c>
      <c r="I23" s="182" t="n">
        <v>0</v>
      </c>
      <c r="J23" s="182" t="n">
        <v>0</v>
      </c>
      <c r="K23" s="20">
        <f>REPT(CHAR(152),SUM($V23:$X23)+Y23+AE23)</f>
        <v/>
      </c>
      <c r="L23" s="7">
        <f>REPT(CHAR(152),SUM($V23:$X23)+Z23+AF23)</f>
        <v/>
      </c>
      <c r="M23" s="7">
        <f>REPT(CHAR(152),SUM($V23:$X23)+AA23+AG23)</f>
        <v/>
      </c>
      <c r="N23" s="7">
        <f>REPT(CHAR(152),SUM($V23:$X23)+AB23+AH23)</f>
        <v/>
      </c>
      <c r="O23" s="7">
        <f>REPT(CHAR(152),SUM($V23:$X23)+AC23+AI23)</f>
        <v/>
      </c>
      <c r="P23" s="19">
        <f>REPT(CHAR(152),SUM($V23:$X23)+AD23+AJ23)</f>
        <v/>
      </c>
      <c r="Q23" s="176">
        <f>(Q80+Q81)/2</f>
        <v/>
      </c>
      <c r="R23" s="176">
        <f>(R80+R81)/2</f>
        <v/>
      </c>
      <c r="S23" s="176">
        <f>(S80+S81)/2</f>
        <v/>
      </c>
      <c r="T23" s="177">
        <f t="array" ref="T23">MEDIAN(IF($A$14:$A$77=$A23,Q$14:Q$77))</f>
        <v/>
      </c>
      <c r="U23" s="177">
        <f t="array" ref="U23">MEDIAN(IF($A$14:$A$77=$A23,R$14:R$77))</f>
        <v/>
      </c>
      <c r="V23" s="178">
        <f>IF(Q23&gt;T23,1,0)</f>
        <v/>
      </c>
      <c r="W23" s="178">
        <f>IF(R23&gt;U23,1,0)</f>
        <v/>
      </c>
      <c r="X23" s="178">
        <f>IF(OR(AND(A23&lt;9,S23&gt;3),AND(A23&gt;8,S23&lt;4)),1,0)</f>
        <v/>
      </c>
      <c r="Y23" s="179">
        <f>'Slot calculations'!BD12</f>
        <v/>
      </c>
      <c r="Z23" s="179">
        <f>'Slot calculations'!BE12</f>
        <v/>
      </c>
      <c r="AA23" s="179">
        <f>'Slot calculations'!BF12</f>
        <v/>
      </c>
      <c r="AB23" s="179">
        <f>'Slot calculations'!BG12</f>
        <v/>
      </c>
      <c r="AC23" s="179">
        <f>'Slot calculations'!BH12</f>
        <v/>
      </c>
      <c r="AD23" s="179">
        <f>'Slot calculations'!BI12</f>
        <v/>
      </c>
      <c r="AE23" s="180">
        <f>'Slot calculations'!BJ12</f>
        <v/>
      </c>
      <c r="AF23" s="180">
        <f>'Slot calculations'!BK12</f>
        <v/>
      </c>
      <c r="AG23" s="180">
        <f>'Slot calculations'!BL12</f>
        <v/>
      </c>
      <c r="AH23" s="180">
        <f>'Slot calculations'!BM12</f>
        <v/>
      </c>
      <c r="AI23" s="180">
        <f>'Slot calculations'!BN12</f>
        <v/>
      </c>
      <c r="AJ23" s="180">
        <f>'Slot calculations'!BO12</f>
        <v/>
      </c>
    </row>
    <row r="24" ht="15.75" customHeight="1">
      <c r="A24" s="3" t="n">
        <v>3</v>
      </c>
      <c r="B24" s="133" t="inlineStr">
        <is>
          <t>LSU</t>
        </is>
      </c>
      <c r="C24" s="60" t="n"/>
      <c r="D24" s="60" t="n"/>
      <c r="E24" s="183" t="n">
        <v>1</v>
      </c>
      <c r="F24" s="182" t="n">
        <v>0</v>
      </c>
      <c r="G24" s="182" t="n">
        <v>0</v>
      </c>
      <c r="H24" s="182" t="n">
        <v>0</v>
      </c>
      <c r="I24" s="182" t="n">
        <v>0</v>
      </c>
      <c r="J24" s="182" t="n">
        <v>0</v>
      </c>
      <c r="K24" s="18">
        <f>REPT(CHAR(152),SUM($V24:$X24)+Y24+AE24)</f>
        <v/>
      </c>
      <c r="L24" s="7">
        <f>REPT(CHAR(152),SUM($V24:$X24)+Z24+AF24)</f>
        <v/>
      </c>
      <c r="M24" s="7">
        <f>REPT(CHAR(152),SUM($V24:$X24)+AA24+AG24)</f>
        <v/>
      </c>
      <c r="N24" s="7">
        <f>REPT(CHAR(152),SUM($V24:$X24)+AB24+AH24)</f>
        <v/>
      </c>
      <c r="O24" s="7">
        <f>REPT(CHAR(152),SUM($V24:$X24)+AC24+AI24)</f>
        <v/>
      </c>
      <c r="P24" s="19">
        <f>REPT(CHAR(152),SUM($V24:$X24)+AD24+AJ24)</f>
        <v/>
      </c>
      <c r="Q24" s="176">
        <f>VLOOKUP(B24,Quality!A$2:B$252,2,FALSE)</f>
        <v/>
      </c>
      <c r="R24" s="176">
        <f>VLOOKUP(B24,Size!A$2:B$299,2,FALSE)</f>
        <v/>
      </c>
      <c r="S24" s="176">
        <f>VLOOKUP(B24,Mom!A$2:B$68,2,FALSE)</f>
        <v/>
      </c>
      <c r="T24" s="177">
        <f t="array" ref="T24">MEDIAN(IF($A$14:$A$77=$A24,Q$14:Q$77))</f>
        <v/>
      </c>
      <c r="U24" s="177">
        <f t="array" ref="U24">MEDIAN(IF($A$14:$A$77=$A24,R$14:R$77))</f>
        <v/>
      </c>
      <c r="V24" s="178">
        <f>IF(Q24&gt;T24,1,0)</f>
        <v/>
      </c>
      <c r="W24" s="178">
        <f>IF(R24&gt;U24,1,0)</f>
        <v/>
      </c>
      <c r="X24" s="178">
        <f>IF(OR(AND(A24&lt;9,S24&gt;3),AND(A24&gt;8,S24&lt;4)),1,0)</f>
        <v/>
      </c>
      <c r="Y24" s="179">
        <f>'Slot calculations'!BD13</f>
        <v/>
      </c>
      <c r="Z24" s="179">
        <f>'Slot calculations'!BE13</f>
        <v/>
      </c>
      <c r="AA24" s="179">
        <f>'Slot calculations'!BF13</f>
        <v/>
      </c>
      <c r="AB24" s="179">
        <f>'Slot calculations'!BG13</f>
        <v/>
      </c>
      <c r="AC24" s="179">
        <f>'Slot calculations'!BH13</f>
        <v/>
      </c>
      <c r="AD24" s="179">
        <f>'Slot calculations'!BI13</f>
        <v/>
      </c>
      <c r="AE24" s="180">
        <f>'Slot calculations'!BJ13</f>
        <v/>
      </c>
      <c r="AF24" s="180">
        <f>'Slot calculations'!BK13</f>
        <v/>
      </c>
      <c r="AG24" s="180">
        <f>'Slot calculations'!BL13</f>
        <v/>
      </c>
      <c r="AH24" s="180">
        <f>'Slot calculations'!BM13</f>
        <v/>
      </c>
      <c r="AI24" s="180">
        <f>'Slot calculations'!BN13</f>
        <v/>
      </c>
      <c r="AJ24" s="180">
        <f>'Slot calculations'!BO13</f>
        <v/>
      </c>
    </row>
    <row r="25" ht="16.5" customHeight="1" thickBot="1">
      <c r="A25" s="3" t="n">
        <v>14</v>
      </c>
      <c r="B25" s="133" t="inlineStr">
        <is>
          <t>Yale</t>
        </is>
      </c>
      <c r="C25" s="60" t="n"/>
      <c r="D25" s="60" t="n"/>
      <c r="E25" s="181" t="n">
        <v>0</v>
      </c>
      <c r="F25" s="184" t="n">
        <v>0</v>
      </c>
      <c r="G25" s="182" t="n">
        <v>0</v>
      </c>
      <c r="H25" s="182" t="n">
        <v>0</v>
      </c>
      <c r="I25" s="182" t="n">
        <v>0</v>
      </c>
      <c r="J25" s="182" t="n">
        <v>0</v>
      </c>
      <c r="K25" s="20">
        <f>REPT(CHAR(152),SUM($V25:$X25)+Y25+AE25)</f>
        <v/>
      </c>
      <c r="L25" s="11">
        <f>REPT(CHAR(152),SUM($V25:$X25)+Z25+AF25)</f>
        <v/>
      </c>
      <c r="M25" s="7">
        <f>REPT(CHAR(152),SUM($V25:$X25)+AA25+AG25)</f>
        <v/>
      </c>
      <c r="N25" s="7">
        <f>REPT(CHAR(152),SUM($V25:$X25)+AB25+AH25)</f>
        <v/>
      </c>
      <c r="O25" s="7">
        <f>REPT(CHAR(152),SUM($V25:$X25)+AC25+AI25)</f>
        <v/>
      </c>
      <c r="P25" s="19">
        <f>REPT(CHAR(152),SUM($V25:$X25)+AD25+AJ25)</f>
        <v/>
      </c>
      <c r="Q25" s="176">
        <f>VLOOKUP(B25,Quality!A$2:B$252,2,FALSE)</f>
        <v/>
      </c>
      <c r="R25" s="176">
        <f>VLOOKUP(B25,Size!A$2:B$299,2,FALSE)</f>
        <v/>
      </c>
      <c r="S25" s="176">
        <f>VLOOKUP(B25,Mom!A$2:B$68,2,FALSE)</f>
        <v/>
      </c>
      <c r="T25" s="177">
        <f t="array" ref="T25">MEDIAN(IF($A$14:$A$77=$A25,Q$14:Q$77))</f>
        <v/>
      </c>
      <c r="U25" s="177">
        <f t="array" ref="U25">MEDIAN(IF($A$14:$A$77=$A25,R$14:R$77))</f>
        <v/>
      </c>
      <c r="V25" s="178">
        <f>IF(Q25&gt;T25,1,0)</f>
        <v/>
      </c>
      <c r="W25" s="178">
        <f>IF(R25&gt;U25,1,0)</f>
        <v/>
      </c>
      <c r="X25" s="178">
        <f>IF(OR(AND(A25&lt;9,S25&gt;3),AND(A25&gt;8,S25&lt;4)),1,0)</f>
        <v/>
      </c>
      <c r="Y25" s="179">
        <f>'Slot calculations'!BD14</f>
        <v/>
      </c>
      <c r="Z25" s="179">
        <f>'Slot calculations'!BE14</f>
        <v/>
      </c>
      <c r="AA25" s="179">
        <f>'Slot calculations'!BF14</f>
        <v/>
      </c>
      <c r="AB25" s="179">
        <f>'Slot calculations'!BG14</f>
        <v/>
      </c>
      <c r="AC25" s="179">
        <f>'Slot calculations'!BH14</f>
        <v/>
      </c>
      <c r="AD25" s="179">
        <f>'Slot calculations'!BI14</f>
        <v/>
      </c>
      <c r="AE25" s="180">
        <f>'Slot calculations'!BJ14</f>
        <v/>
      </c>
      <c r="AF25" s="180">
        <f>'Slot calculations'!BK14</f>
        <v/>
      </c>
      <c r="AG25" s="180">
        <f>'Slot calculations'!BL14</f>
        <v/>
      </c>
      <c r="AH25" s="180">
        <f>'Slot calculations'!BM14</f>
        <v/>
      </c>
      <c r="AI25" s="180">
        <f>'Slot calculations'!BN14</f>
        <v/>
      </c>
      <c r="AJ25" s="180">
        <f>'Slot calculations'!BO14</f>
        <v/>
      </c>
    </row>
    <row r="26" ht="15.75" customHeight="1">
      <c r="A26" s="3" t="n">
        <v>7</v>
      </c>
      <c r="B26" s="133" t="inlineStr">
        <is>
          <t>Louisville</t>
        </is>
      </c>
      <c r="C26" s="60" t="n"/>
      <c r="D26" s="60" t="n"/>
      <c r="E26" s="183" t="n">
        <v>1</v>
      </c>
      <c r="F26" s="182" t="n">
        <v>1</v>
      </c>
      <c r="G26" s="182" t="n">
        <v>0</v>
      </c>
      <c r="H26" s="182" t="n">
        <v>0</v>
      </c>
      <c r="I26" s="182" t="n">
        <v>0</v>
      </c>
      <c r="J26" s="182" t="n">
        <v>0</v>
      </c>
      <c r="K26" s="18">
        <f>REPT(CHAR(152),SUM($V26:$X26)+Y26+AE26)</f>
        <v/>
      </c>
      <c r="L26" s="7">
        <f>REPT(CHAR(152),SUM($V26:$X26)+Z26+AF26)</f>
        <v/>
      </c>
      <c r="M26" s="7">
        <f>REPT(CHAR(152),SUM($V26:$X26)+AA26+AG26)</f>
        <v/>
      </c>
      <c r="N26" s="7">
        <f>REPT(CHAR(152),SUM($V26:$X26)+AB26+AH26)</f>
        <v/>
      </c>
      <c r="O26" s="7">
        <f>REPT(CHAR(152),SUM($V26:$X26)+AC26+AI26)</f>
        <v/>
      </c>
      <c r="P26" s="19">
        <f>REPT(CHAR(152),SUM($V26:$X26)+AD26+AJ26)</f>
        <v/>
      </c>
      <c r="Q26" s="176">
        <f>VLOOKUP(B26,Quality!A$2:B$252,2,FALSE)</f>
        <v/>
      </c>
      <c r="R26" s="176">
        <f>VLOOKUP(B26,Size!A$2:B$299,2,FALSE)</f>
        <v/>
      </c>
      <c r="S26" s="176">
        <f>VLOOKUP(B26,Mom!A$2:B$68,2,FALSE)</f>
        <v/>
      </c>
      <c r="T26" s="177">
        <f t="array" ref="T26">MEDIAN(IF($A$14:$A$77=$A26,Q$14:Q$77))</f>
        <v/>
      </c>
      <c r="U26" s="177">
        <f t="array" ref="U26">MEDIAN(IF($A$14:$A$77=$A26,R$14:R$77))</f>
        <v/>
      </c>
      <c r="V26" s="178">
        <f>IF(Q26&gt;T26,1,0)</f>
        <v/>
      </c>
      <c r="W26" s="178">
        <f>IF(R26&gt;U26,1,0)</f>
        <v/>
      </c>
      <c r="X26" s="178">
        <f>IF(OR(AND(A26&lt;9,S26&gt;3),AND(A26&gt;8,S26&lt;4)),1,0)</f>
        <v/>
      </c>
      <c r="Y26" s="179">
        <f>'Slot calculations'!BD15</f>
        <v/>
      </c>
      <c r="Z26" s="179">
        <f>'Slot calculations'!BE15</f>
        <v/>
      </c>
      <c r="AA26" s="179">
        <f>'Slot calculations'!BF15</f>
        <v/>
      </c>
      <c r="AB26" s="179">
        <f>'Slot calculations'!BG15</f>
        <v/>
      </c>
      <c r="AC26" s="179">
        <f>'Slot calculations'!BH15</f>
        <v/>
      </c>
      <c r="AD26" s="179">
        <f>'Slot calculations'!BI15</f>
        <v/>
      </c>
      <c r="AE26" s="180">
        <f>'Slot calculations'!BJ15</f>
        <v/>
      </c>
      <c r="AF26" s="180">
        <f>'Slot calculations'!BK15</f>
        <v/>
      </c>
      <c r="AG26" s="180">
        <f>'Slot calculations'!BL15</f>
        <v/>
      </c>
      <c r="AH26" s="180">
        <f>'Slot calculations'!BM15</f>
        <v/>
      </c>
      <c r="AI26" s="180">
        <f>'Slot calculations'!BN15</f>
        <v/>
      </c>
      <c r="AJ26" s="180">
        <f>'Slot calculations'!BO15</f>
        <v/>
      </c>
    </row>
    <row r="27" ht="16.5" customHeight="1" thickBot="1">
      <c r="A27" s="3" t="n">
        <v>10</v>
      </c>
      <c r="B27" s="133" t="inlineStr">
        <is>
          <t>Minnesota</t>
        </is>
      </c>
      <c r="C27" s="60" t="n"/>
      <c r="D27" s="60" t="n"/>
      <c r="E27" s="181" t="n">
        <v>0</v>
      </c>
      <c r="F27" s="182" t="n">
        <v>0</v>
      </c>
      <c r="G27" s="182" t="n">
        <v>0</v>
      </c>
      <c r="H27" s="182" t="n">
        <v>0</v>
      </c>
      <c r="I27" s="182" t="n">
        <v>0</v>
      </c>
      <c r="J27" s="182" t="n">
        <v>0</v>
      </c>
      <c r="K27" s="20">
        <f>REPT(CHAR(152),SUM($V27:$X27)+Y27+AE27)</f>
        <v/>
      </c>
      <c r="L27" s="7">
        <f>REPT(CHAR(152),SUM($V27:$X27)+Z27+AF27)</f>
        <v/>
      </c>
      <c r="M27" s="7">
        <f>REPT(CHAR(152),SUM($V27:$X27)+AA27+AG27)</f>
        <v/>
      </c>
      <c r="N27" s="7">
        <f>REPT(CHAR(152),SUM($V27:$X27)+AB27+AH27)</f>
        <v/>
      </c>
      <c r="O27" s="7">
        <f>REPT(CHAR(152),SUM($V27:$X27)+AC27+AI27)</f>
        <v/>
      </c>
      <c r="P27" s="19">
        <f>REPT(CHAR(152),SUM($V27:$X27)+AD27+AJ27)</f>
        <v/>
      </c>
      <c r="Q27" s="176">
        <f>VLOOKUP(B27,Quality!A$2:B$252,2,FALSE)</f>
        <v/>
      </c>
      <c r="R27" s="176">
        <f>VLOOKUP(B27,Size!A$2:B$299,2,FALSE)</f>
        <v/>
      </c>
      <c r="S27" s="176">
        <f>VLOOKUP(B27,Mom!A$2:B$68,2,FALSE)</f>
        <v/>
      </c>
      <c r="T27" s="177">
        <f t="array" ref="T27">MEDIAN(IF($A$14:$A$77=$A27,Q$14:Q$77))</f>
        <v/>
      </c>
      <c r="U27" s="177">
        <f t="array" ref="U27">MEDIAN(IF($A$14:$A$77=$A27,R$14:R$77))</f>
        <v/>
      </c>
      <c r="V27" s="178">
        <f>IF(Q27&gt;T27,1,0)</f>
        <v/>
      </c>
      <c r="W27" s="178">
        <f>IF(R27&gt;U27,1,0)</f>
        <v/>
      </c>
      <c r="X27" s="178">
        <f>IF(OR(AND(A27&lt;9,S27&gt;3),AND(A27&gt;8,S27&lt;4)),1,0)</f>
        <v/>
      </c>
      <c r="Y27" s="179">
        <f>'Slot calculations'!BD16</f>
        <v/>
      </c>
      <c r="Z27" s="179">
        <f>'Slot calculations'!BE16</f>
        <v/>
      </c>
      <c r="AA27" s="179">
        <f>'Slot calculations'!BF16</f>
        <v/>
      </c>
      <c r="AB27" s="179">
        <f>'Slot calculations'!BG16</f>
        <v/>
      </c>
      <c r="AC27" s="179">
        <f>'Slot calculations'!BH16</f>
        <v/>
      </c>
      <c r="AD27" s="179">
        <f>'Slot calculations'!BI16</f>
        <v/>
      </c>
      <c r="AE27" s="180">
        <f>'Slot calculations'!BJ16</f>
        <v/>
      </c>
      <c r="AF27" s="180">
        <f>'Slot calculations'!BK16</f>
        <v/>
      </c>
      <c r="AG27" s="180">
        <f>'Slot calculations'!BL16</f>
        <v/>
      </c>
      <c r="AH27" s="180">
        <f>'Slot calculations'!BM16</f>
        <v/>
      </c>
      <c r="AI27" s="180">
        <f>'Slot calculations'!BN16</f>
        <v/>
      </c>
      <c r="AJ27" s="180">
        <f>'Slot calculations'!BO16</f>
        <v/>
      </c>
    </row>
    <row r="28" ht="15.75" customHeight="1">
      <c r="A28" s="3" t="n">
        <v>2</v>
      </c>
      <c r="B28" s="133" t="inlineStr">
        <is>
          <t>Michigan State</t>
        </is>
      </c>
      <c r="C28" s="60" t="n"/>
      <c r="D28" s="60" t="n"/>
      <c r="E28" s="183" t="n">
        <v>1</v>
      </c>
      <c r="F28" s="182" t="n">
        <v>0</v>
      </c>
      <c r="G28" s="182" t="n">
        <v>0</v>
      </c>
      <c r="H28" s="182" t="n">
        <v>0</v>
      </c>
      <c r="I28" s="182" t="n">
        <v>0</v>
      </c>
      <c r="J28" s="182" t="n">
        <v>0</v>
      </c>
      <c r="K28" s="18">
        <f>REPT(CHAR(152),SUM($V28:$X28)+Y28+AE28)</f>
        <v/>
      </c>
      <c r="L28" s="7">
        <f>REPT(CHAR(152),SUM($V28:$X28)+Z28+AF28)</f>
        <v/>
      </c>
      <c r="M28" s="7">
        <f>REPT(CHAR(152),SUM($V28:$X28)+AA28+AG28)</f>
        <v/>
      </c>
      <c r="N28" s="7">
        <f>REPT(CHAR(152),SUM($V28:$X28)+AB28+AH28)</f>
        <v/>
      </c>
      <c r="O28" s="7">
        <f>REPT(CHAR(152),SUM($V28:$X28)+AC28+AI28)</f>
        <v/>
      </c>
      <c r="P28" s="19">
        <f>REPT(CHAR(152),SUM($V28:$X28)+AD28+AJ28)</f>
        <v/>
      </c>
      <c r="Q28" s="176">
        <f>VLOOKUP(B28,Quality!A$2:B$252,2,FALSE)</f>
        <v/>
      </c>
      <c r="R28" s="176">
        <f>VLOOKUP(B28,Size!A$2:B$299,2,FALSE)</f>
        <v/>
      </c>
      <c r="S28" s="176">
        <f>VLOOKUP(B28,Mom!A$2:B$68,2,FALSE)</f>
        <v/>
      </c>
      <c r="T28" s="177">
        <f t="array" ref="T28">MEDIAN(IF($A$14:$A$77=$A28,Q$14:Q$77))</f>
        <v/>
      </c>
      <c r="U28" s="177">
        <f t="array" ref="U28">MEDIAN(IF($A$14:$A$77=$A28,R$14:R$77))</f>
        <v/>
      </c>
      <c r="V28" s="178">
        <f>IF(Q28&gt;T28,1,0)</f>
        <v/>
      </c>
      <c r="W28" s="178">
        <f>IF(R28&gt;U28,1,0)</f>
        <v/>
      </c>
      <c r="X28" s="178">
        <f>IF(OR(AND(A28&lt;9,S28&gt;3),AND(A28&gt;8,S28&lt;4)),1,0)</f>
        <v/>
      </c>
      <c r="Y28" s="179">
        <f>'Slot calculations'!BD17</f>
        <v/>
      </c>
      <c r="Z28" s="179">
        <f>'Slot calculations'!BE17</f>
        <v/>
      </c>
      <c r="AA28" s="179">
        <f>'Slot calculations'!BF17</f>
        <v/>
      </c>
      <c r="AB28" s="179">
        <f>'Slot calculations'!BG17</f>
        <v/>
      </c>
      <c r="AC28" s="179">
        <f>'Slot calculations'!BH17</f>
        <v/>
      </c>
      <c r="AD28" s="179">
        <f>'Slot calculations'!BI17</f>
        <v/>
      </c>
      <c r="AE28" s="180">
        <f>'Slot calculations'!BJ17</f>
        <v/>
      </c>
      <c r="AF28" s="180">
        <f>'Slot calculations'!BK17</f>
        <v/>
      </c>
      <c r="AG28" s="180">
        <f>'Slot calculations'!BL17</f>
        <v/>
      </c>
      <c r="AH28" s="180">
        <f>'Slot calculations'!BM17</f>
        <v/>
      </c>
      <c r="AI28" s="180">
        <f>'Slot calculations'!BN17</f>
        <v/>
      </c>
      <c r="AJ28" s="180">
        <f>'Slot calculations'!BO17</f>
        <v/>
      </c>
    </row>
    <row r="29" ht="16.5" customHeight="1" thickBot="1">
      <c r="A29" s="3" t="n">
        <v>15</v>
      </c>
      <c r="B29" s="133" t="inlineStr">
        <is>
          <t>Bradley</t>
        </is>
      </c>
      <c r="C29" s="60" t="n"/>
      <c r="D29" s="60" t="n"/>
      <c r="E29" s="181" t="n">
        <v>0</v>
      </c>
      <c r="F29" s="184" t="n">
        <v>0</v>
      </c>
      <c r="G29" s="184" t="n">
        <v>0</v>
      </c>
      <c r="H29" s="182" t="n">
        <v>0</v>
      </c>
      <c r="I29" s="182" t="n">
        <v>0</v>
      </c>
      <c r="J29" s="182" t="n">
        <v>0</v>
      </c>
      <c r="K29" s="20">
        <f>REPT(CHAR(152),SUM($V29:$X29)+Y29+AE29)</f>
        <v/>
      </c>
      <c r="L29" s="11">
        <f>REPT(CHAR(152),SUM($V29:$X29)+Z29+AF29)</f>
        <v/>
      </c>
      <c r="M29" s="11">
        <f>REPT(CHAR(152),SUM($V29:$X29)+AA29+AG29)</f>
        <v/>
      </c>
      <c r="N29" s="11">
        <f>REPT(CHAR(152),SUM($V29:$X29)+AB29+AH29)</f>
        <v/>
      </c>
      <c r="O29" s="7">
        <f>REPT(CHAR(152),SUM($V29:$X29)+AC29+AI29)</f>
        <v/>
      </c>
      <c r="P29" s="19">
        <f>REPT(CHAR(152),SUM($V29:$X29)+AD29+AJ29)</f>
        <v/>
      </c>
      <c r="Q29" s="176">
        <f>VLOOKUP(B29,Quality!A$2:B$252,2,FALSE)</f>
        <v/>
      </c>
      <c r="R29" s="176">
        <f>VLOOKUP(B29,Size!A$2:B$299,2,FALSE)</f>
        <v/>
      </c>
      <c r="S29" s="176">
        <f>VLOOKUP(B29,Mom!A$2:B$68,2,FALSE)</f>
        <v/>
      </c>
      <c r="T29" s="177">
        <f t="array" ref="T29">MEDIAN(IF($A$14:$A$77=$A29,Q$14:Q$77))</f>
        <v/>
      </c>
      <c r="U29" s="177">
        <f t="array" ref="U29">MEDIAN(IF($A$14:$A$77=$A29,R$14:R$77))</f>
        <v/>
      </c>
      <c r="V29" s="178">
        <f>IF(Q29&gt;T29,1,0)</f>
        <v/>
      </c>
      <c r="W29" s="178">
        <f>IF(R29&gt;U29,1,0)</f>
        <v/>
      </c>
      <c r="X29" s="178">
        <f>IF(OR(AND(A29&lt;9,S29&gt;3),AND(A29&gt;8,S29&lt;4)),1,0)</f>
        <v/>
      </c>
      <c r="Y29" s="179">
        <f>'Slot calculations'!BD18</f>
        <v/>
      </c>
      <c r="Z29" s="179">
        <f>'Slot calculations'!BE18</f>
        <v/>
      </c>
      <c r="AA29" s="179">
        <f>'Slot calculations'!BF18</f>
        <v/>
      </c>
      <c r="AB29" s="179">
        <f>'Slot calculations'!BG18</f>
        <v/>
      </c>
      <c r="AC29" s="179">
        <f>'Slot calculations'!BH18</f>
        <v/>
      </c>
      <c r="AD29" s="179">
        <f>'Slot calculations'!BI18</f>
        <v/>
      </c>
      <c r="AE29" s="180">
        <f>'Slot calculations'!BJ18</f>
        <v/>
      </c>
      <c r="AF29" s="180">
        <f>'Slot calculations'!BK18</f>
        <v/>
      </c>
      <c r="AG29" s="180">
        <f>'Slot calculations'!BL18</f>
        <v/>
      </c>
      <c r="AH29" s="180">
        <f>'Slot calculations'!BM18</f>
        <v/>
      </c>
      <c r="AI29" s="180">
        <f>'Slot calculations'!BN18</f>
        <v/>
      </c>
      <c r="AJ29" s="180">
        <f>'Slot calculations'!BO18</f>
        <v/>
      </c>
    </row>
    <row r="30" ht="15.75" customHeight="1">
      <c r="A30" s="3" t="n">
        <v>1</v>
      </c>
      <c r="B30" s="133" t="inlineStr">
        <is>
          <t>Gonzaga</t>
        </is>
      </c>
      <c r="C30" s="60" t="n"/>
      <c r="D30" s="60" t="n"/>
      <c r="E30" s="173" t="n">
        <v>1</v>
      </c>
      <c r="F30" s="174" t="n">
        <v>1</v>
      </c>
      <c r="G30" s="174" t="n">
        <v>1</v>
      </c>
      <c r="H30" s="174" t="n">
        <v>1</v>
      </c>
      <c r="I30" s="182" t="n">
        <v>0</v>
      </c>
      <c r="J30" s="182" t="n">
        <v>0</v>
      </c>
      <c r="K30" s="21">
        <f>REPT(CHAR(152),SUM($V30:$X30)+Y30+AE30)</f>
        <v/>
      </c>
      <c r="L30" s="8">
        <f>REPT(CHAR(152),SUM($V30:$X30)+Z30+AF30)</f>
        <v/>
      </c>
      <c r="M30" s="8">
        <f>REPT(CHAR(152),SUM($V30:$X30)+AA30+AG30)</f>
        <v/>
      </c>
      <c r="N30" s="8">
        <f>REPT(CHAR(152),SUM($V30:$X30)+AB30+AH30)</f>
        <v/>
      </c>
      <c r="O30" s="8">
        <f>REPT(CHAR(152),SUM($V30:$X30)+AC30+AI30)</f>
        <v/>
      </c>
      <c r="P30" s="22">
        <f>REPT(CHAR(152),SUM($V30:$X30)+AD30+AJ30)</f>
        <v/>
      </c>
      <c r="Q30" s="176">
        <f>VLOOKUP(B30,Quality!A$2:B$252,2,FALSE)</f>
        <v/>
      </c>
      <c r="R30" s="176">
        <f>VLOOKUP(B30,Size!A$2:B$299,2,FALSE)</f>
        <v/>
      </c>
      <c r="S30" s="176">
        <f>VLOOKUP(B30,Mom!A$2:B$68,2,FALSE)</f>
        <v/>
      </c>
      <c r="T30" s="177">
        <f t="array" ref="T30">MEDIAN(IF($A$14:$A$77=$A30,Q$14:Q$77))</f>
        <v/>
      </c>
      <c r="U30" s="177">
        <f t="array" ref="U30">MEDIAN(IF($A$14:$A$77=$A30,R$14:R$77))</f>
        <v/>
      </c>
      <c r="V30" s="178">
        <f>IF(Q30&gt;T30,1,0)</f>
        <v/>
      </c>
      <c r="W30" s="178">
        <f>IF(R30&gt;U30,1,0)</f>
        <v/>
      </c>
      <c r="X30" s="178">
        <f>IF(OR(AND(A30&lt;9,S30&gt;3),AND(A30&gt;8,S30&lt;4)),1,0)</f>
        <v/>
      </c>
      <c r="Y30" s="179">
        <f>'Slot calculations'!BD19</f>
        <v/>
      </c>
      <c r="Z30" s="179">
        <f>'Slot calculations'!BE19</f>
        <v/>
      </c>
      <c r="AA30" s="179">
        <f>'Slot calculations'!BF19</f>
        <v/>
      </c>
      <c r="AB30" s="179">
        <f>'Slot calculations'!BG19</f>
        <v/>
      </c>
      <c r="AC30" s="179">
        <f>'Slot calculations'!BH19</f>
        <v/>
      </c>
      <c r="AD30" s="179">
        <f>'Slot calculations'!BI19</f>
        <v/>
      </c>
      <c r="AE30" s="180">
        <f>'Slot calculations'!BJ19</f>
        <v/>
      </c>
      <c r="AF30" s="180">
        <f>'Slot calculations'!BK19</f>
        <v/>
      </c>
      <c r="AG30" s="180">
        <f>'Slot calculations'!BL19</f>
        <v/>
      </c>
      <c r="AH30" s="180">
        <f>'Slot calculations'!BM19</f>
        <v/>
      </c>
      <c r="AI30" s="180">
        <f>'Slot calculations'!BN19</f>
        <v/>
      </c>
      <c r="AJ30" s="180">
        <f>'Slot calculations'!BO19</f>
        <v/>
      </c>
    </row>
    <row r="31" ht="16.5" customHeight="1" thickBot="1">
      <c r="A31" s="3" t="n">
        <v>16</v>
      </c>
      <c r="B31" s="133" t="inlineStr">
        <is>
          <t>FD/PV</t>
        </is>
      </c>
      <c r="C31" s="60" t="n"/>
      <c r="D31" s="60" t="n"/>
      <c r="E31" s="181" t="n">
        <v>0</v>
      </c>
      <c r="F31" s="182" t="n">
        <v>0</v>
      </c>
      <c r="G31" s="182" t="n">
        <v>0</v>
      </c>
      <c r="H31" s="182" t="n">
        <v>0</v>
      </c>
      <c r="I31" s="182" t="n">
        <v>0</v>
      </c>
      <c r="J31" s="182" t="n">
        <v>0</v>
      </c>
      <c r="K31" s="23">
        <f>REPT(CHAR(152),SUM($V31:$X31)+Y31+AE31)</f>
        <v/>
      </c>
      <c r="L31" s="8">
        <f>REPT(CHAR(152),SUM($V31:$X31)+Z31+AF31)</f>
        <v/>
      </c>
      <c r="M31" s="8">
        <f>REPT(CHAR(152),SUM($V31:$X31)+AA31+AG31)</f>
        <v/>
      </c>
      <c r="N31" s="8">
        <f>REPT(CHAR(152),SUM($V31:$X31)+AB31+AH31)</f>
        <v/>
      </c>
      <c r="O31" s="8">
        <f>REPT(CHAR(152),SUM($V31:$X31)+AC31+AI31)</f>
        <v/>
      </c>
      <c r="P31" s="22">
        <f>REPT(CHAR(152),SUM($V31:$X31)+AD31+AJ31)</f>
        <v/>
      </c>
      <c r="Q31" s="176">
        <f>(Q82+Q83)/2</f>
        <v/>
      </c>
      <c r="R31" s="176">
        <f>(R82+R83)/2</f>
        <v/>
      </c>
      <c r="S31" s="176">
        <f>(S82+S83)/2</f>
        <v/>
      </c>
      <c r="T31" s="177">
        <f t="array" ref="T31">MEDIAN(IF($A$14:$A$77=$A31,Q$14:Q$77))</f>
        <v/>
      </c>
      <c r="U31" s="177">
        <f t="array" ref="U31">MEDIAN(IF($A$14:$A$77=$A31,R$14:R$77))</f>
        <v/>
      </c>
      <c r="V31" s="178">
        <f>IF(Q31&gt;T31,1,0)</f>
        <v/>
      </c>
      <c r="W31" s="178">
        <f>IF(R31&gt;U31,1,0)</f>
        <v/>
      </c>
      <c r="X31" s="178">
        <f>IF(OR(AND(A31&lt;9,S31&gt;3),AND(A31&gt;8,S31&lt;4)),1,0)</f>
        <v/>
      </c>
      <c r="Y31" s="179">
        <f>'Slot calculations'!BD20</f>
        <v/>
      </c>
      <c r="Z31" s="179">
        <f>'Slot calculations'!BE20</f>
        <v/>
      </c>
      <c r="AA31" s="179">
        <f>'Slot calculations'!BF20</f>
        <v/>
      </c>
      <c r="AB31" s="179">
        <f>'Slot calculations'!BG20</f>
        <v/>
      </c>
      <c r="AC31" s="179">
        <f>'Slot calculations'!BH20</f>
        <v/>
      </c>
      <c r="AD31" s="179">
        <f>'Slot calculations'!BI20</f>
        <v/>
      </c>
      <c r="AE31" s="180">
        <f>'Slot calculations'!BJ20</f>
        <v/>
      </c>
      <c r="AF31" s="180">
        <f>'Slot calculations'!BK20</f>
        <v/>
      </c>
      <c r="AG31" s="180">
        <f>'Slot calculations'!BL20</f>
        <v/>
      </c>
      <c r="AH31" s="180">
        <f>'Slot calculations'!BM20</f>
        <v/>
      </c>
      <c r="AI31" s="180">
        <f>'Slot calculations'!BN20</f>
        <v/>
      </c>
      <c r="AJ31" s="180">
        <f>'Slot calculations'!BO20</f>
        <v/>
      </c>
    </row>
    <row r="32" ht="15.75" customHeight="1">
      <c r="A32" s="3" t="n">
        <v>8</v>
      </c>
      <c r="B32" s="133" t="inlineStr">
        <is>
          <t>Syracuse</t>
        </is>
      </c>
      <c r="C32" s="60" t="n"/>
      <c r="D32" s="60" t="n"/>
      <c r="E32" s="183" t="n">
        <v>1</v>
      </c>
      <c r="F32" s="182" t="n">
        <v>0</v>
      </c>
      <c r="G32" s="182" t="n">
        <v>0</v>
      </c>
      <c r="H32" s="182" t="n">
        <v>0</v>
      </c>
      <c r="I32" s="182" t="n">
        <v>0</v>
      </c>
      <c r="J32" s="182" t="n">
        <v>0</v>
      </c>
      <c r="K32" s="21">
        <f>REPT(CHAR(152),SUM($V32:$X32)+Y32+AE32)</f>
        <v/>
      </c>
      <c r="L32" s="8">
        <f>REPT(CHAR(152),SUM($V32:$X32)+Z32+AF32)</f>
        <v/>
      </c>
      <c r="M32" s="8">
        <f>REPT(CHAR(152),SUM($V32:$X32)+AA32+AG32)</f>
        <v/>
      </c>
      <c r="N32" s="8">
        <f>REPT(CHAR(152),SUM($V32:$X32)+AB32+AH32)</f>
        <v/>
      </c>
      <c r="O32" s="8">
        <f>REPT(CHAR(152),SUM($V32:$X32)+AC32+AI32)</f>
        <v/>
      </c>
      <c r="P32" s="22">
        <f>REPT(CHAR(152),SUM($V32:$X32)+AD32+AJ32)</f>
        <v/>
      </c>
      <c r="Q32" s="176">
        <f>VLOOKUP(B32,Quality!A$2:B$252,2,FALSE)</f>
        <v/>
      </c>
      <c r="R32" s="176">
        <f>VLOOKUP(B32,Size!A$2:B$299,2,FALSE)</f>
        <v/>
      </c>
      <c r="S32" s="176">
        <f>VLOOKUP(B32,Mom!A$2:B$68,2,FALSE)</f>
        <v/>
      </c>
      <c r="T32" s="177">
        <f t="array" ref="T32">MEDIAN(IF($A$14:$A$77=$A32,Q$14:Q$77))</f>
        <v/>
      </c>
      <c r="U32" s="177">
        <f t="array" ref="U32">MEDIAN(IF($A$14:$A$77=$A32,R$14:R$77))</f>
        <v/>
      </c>
      <c r="V32" s="178">
        <f>IF(Q32&gt;T32,1,0)</f>
        <v/>
      </c>
      <c r="W32" s="178">
        <f>IF(R32&gt;U32,1,0)</f>
        <v/>
      </c>
      <c r="X32" s="178">
        <f>IF(OR(AND(A32&lt;9,S32&gt;3),AND(A32&gt;8,S32&lt;4)),1,0)</f>
        <v/>
      </c>
      <c r="Y32" s="179">
        <f>'Slot calculations'!BD21</f>
        <v/>
      </c>
      <c r="Z32" s="179">
        <f>'Slot calculations'!BE21</f>
        <v/>
      </c>
      <c r="AA32" s="179">
        <f>'Slot calculations'!BF21</f>
        <v/>
      </c>
      <c r="AB32" s="179">
        <f>'Slot calculations'!BG21</f>
        <v/>
      </c>
      <c r="AC32" s="179">
        <f>'Slot calculations'!BH21</f>
        <v/>
      </c>
      <c r="AD32" s="179">
        <f>'Slot calculations'!BI21</f>
        <v/>
      </c>
      <c r="AE32" s="180">
        <f>'Slot calculations'!BJ21</f>
        <v/>
      </c>
      <c r="AF32" s="180">
        <f>'Slot calculations'!BK21</f>
        <v/>
      </c>
      <c r="AG32" s="180">
        <f>'Slot calculations'!BL21</f>
        <v/>
      </c>
      <c r="AH32" s="180">
        <f>'Slot calculations'!BM21</f>
        <v/>
      </c>
      <c r="AI32" s="180">
        <f>'Slot calculations'!BN21</f>
        <v/>
      </c>
      <c r="AJ32" s="180">
        <f>'Slot calculations'!BO21</f>
        <v/>
      </c>
    </row>
    <row r="33" ht="16.5" customHeight="1" thickBot="1">
      <c r="A33" s="3" t="n">
        <v>9</v>
      </c>
      <c r="B33" s="133" t="inlineStr">
        <is>
          <t>Baylor</t>
        </is>
      </c>
      <c r="C33" s="60" t="n"/>
      <c r="D33" s="60" t="n"/>
      <c r="E33" s="181" t="n">
        <v>0</v>
      </c>
      <c r="F33" s="184" t="n">
        <v>0</v>
      </c>
      <c r="G33" s="182" t="n">
        <v>0</v>
      </c>
      <c r="H33" s="182" t="n">
        <v>0</v>
      </c>
      <c r="I33" s="182" t="n">
        <v>0</v>
      </c>
      <c r="J33" s="182" t="n">
        <v>0</v>
      </c>
      <c r="K33" s="23">
        <f>REPT(CHAR(152),SUM($V33:$X33)+Y33+AE33)</f>
        <v/>
      </c>
      <c r="L33" s="12">
        <f>REPT(CHAR(152),SUM($V33:$X33)+Z33+AF33)</f>
        <v/>
      </c>
      <c r="M33" s="8">
        <f>REPT(CHAR(152),SUM($V33:$X33)+AA33+AG33)</f>
        <v/>
      </c>
      <c r="N33" s="8">
        <f>REPT(CHAR(152),SUM($V33:$X33)+AB33+AH33)</f>
        <v/>
      </c>
      <c r="O33" s="8">
        <f>REPT(CHAR(152),SUM($V33:$X33)+AC33+AI33)</f>
        <v/>
      </c>
      <c r="P33" s="22">
        <f>REPT(CHAR(152),SUM($V33:$X33)+AD33+AJ33)</f>
        <v/>
      </c>
      <c r="Q33" s="176">
        <f>VLOOKUP(B33,Quality!A$2:B$252,2,FALSE)</f>
        <v/>
      </c>
      <c r="R33" s="176">
        <f>VLOOKUP(B33,Size!A$2:B$299,2,FALSE)</f>
        <v/>
      </c>
      <c r="S33" s="176">
        <f>VLOOKUP(B33,Mom!A$2:B$68,2,FALSE)</f>
        <v/>
      </c>
      <c r="T33" s="177">
        <f t="array" ref="T33">MEDIAN(IF($A$14:$A$77=$A33,Q$14:Q$77))</f>
        <v/>
      </c>
      <c r="U33" s="177">
        <f t="array" ref="U33">MEDIAN(IF($A$14:$A$77=$A33,R$14:R$77))</f>
        <v/>
      </c>
      <c r="V33" s="178">
        <f>IF(Q33&gt;T33,1,0)</f>
        <v/>
      </c>
      <c r="W33" s="178">
        <f>IF(R33&gt;U33,1,0)</f>
        <v/>
      </c>
      <c r="X33" s="178">
        <f>IF(OR(AND(A33&lt;9,S33&gt;3),AND(A33&gt;8,S33&lt;4)),1,0)</f>
        <v/>
      </c>
      <c r="Y33" s="179">
        <f>'Slot calculations'!BD22</f>
        <v/>
      </c>
      <c r="Z33" s="179">
        <f>'Slot calculations'!BE22</f>
        <v/>
      </c>
      <c r="AA33" s="179">
        <f>'Slot calculations'!BF22</f>
        <v/>
      </c>
      <c r="AB33" s="179">
        <f>'Slot calculations'!BG22</f>
        <v/>
      </c>
      <c r="AC33" s="179">
        <f>'Slot calculations'!BH22</f>
        <v/>
      </c>
      <c r="AD33" s="179">
        <f>'Slot calculations'!BI22</f>
        <v/>
      </c>
      <c r="AE33" s="180">
        <f>'Slot calculations'!BJ22</f>
        <v/>
      </c>
      <c r="AF33" s="180">
        <f>'Slot calculations'!BK22</f>
        <v/>
      </c>
      <c r="AG33" s="180">
        <f>'Slot calculations'!BL22</f>
        <v/>
      </c>
      <c r="AH33" s="180">
        <f>'Slot calculations'!BM22</f>
        <v/>
      </c>
      <c r="AI33" s="180">
        <f>'Slot calculations'!BN22</f>
        <v/>
      </c>
      <c r="AJ33" s="180">
        <f>'Slot calculations'!BO22</f>
        <v/>
      </c>
    </row>
    <row r="34" ht="15.75" customHeight="1">
      <c r="A34" s="3" t="n">
        <v>5</v>
      </c>
      <c r="B34" s="133" t="inlineStr">
        <is>
          <t>Marquette</t>
        </is>
      </c>
      <c r="C34" s="60" t="n"/>
      <c r="D34" s="60" t="n"/>
      <c r="E34" s="183" t="n">
        <v>1</v>
      </c>
      <c r="F34" s="182" t="n">
        <v>1</v>
      </c>
      <c r="G34" s="182" t="n">
        <v>0</v>
      </c>
      <c r="H34" s="182" t="n">
        <v>0</v>
      </c>
      <c r="I34" s="182" t="n">
        <v>0</v>
      </c>
      <c r="J34" s="182" t="n">
        <v>0</v>
      </c>
      <c r="K34" s="21">
        <f>REPT(CHAR(152),SUM($V34:$X34)+Y34+AE34)</f>
        <v/>
      </c>
      <c r="L34" s="8">
        <f>REPT(CHAR(152),SUM($V34:$X34)+Z34+AF34)</f>
        <v/>
      </c>
      <c r="M34" s="8">
        <f>REPT(CHAR(152),SUM($V34:$X34)+AA34+AG34)</f>
        <v/>
      </c>
      <c r="N34" s="8">
        <f>REPT(CHAR(152),SUM($V34:$X34)+AB34+AH34)</f>
        <v/>
      </c>
      <c r="O34" s="8">
        <f>REPT(CHAR(152),SUM($V34:$X34)+AC34+AI34)</f>
        <v/>
      </c>
      <c r="P34" s="22">
        <f>REPT(CHAR(152),SUM($V34:$X34)+AD34+AJ34)</f>
        <v/>
      </c>
      <c r="Q34" s="176">
        <f>VLOOKUP(B34,Quality!A$2:B$252,2,FALSE)</f>
        <v/>
      </c>
      <c r="R34" s="176">
        <f>VLOOKUP(B34,Size!A$2:B$299,2,FALSE)</f>
        <v/>
      </c>
      <c r="S34" s="176">
        <f>VLOOKUP(B34,Mom!A$2:B$68,2,FALSE)</f>
        <v/>
      </c>
      <c r="T34" s="177">
        <f t="array" ref="T34">MEDIAN(IF($A$14:$A$77=$A34,Q$14:Q$77))</f>
        <v/>
      </c>
      <c r="U34" s="177">
        <f t="array" ref="U34">MEDIAN(IF($A$14:$A$77=$A34,R$14:R$77))</f>
        <v/>
      </c>
      <c r="V34" s="178">
        <f>IF(Q34&gt;T34,1,0)</f>
        <v/>
      </c>
      <c r="W34" s="178">
        <f>IF(R34&gt;U34,1,0)</f>
        <v/>
      </c>
      <c r="X34" s="178">
        <f>IF(OR(AND(A34&lt;9,S34&gt;3),AND(A34&gt;8,S34&lt;4)),1,0)</f>
        <v/>
      </c>
      <c r="Y34" s="179">
        <f>'Slot calculations'!BD23</f>
        <v/>
      </c>
      <c r="Z34" s="179">
        <f>'Slot calculations'!BE23</f>
        <v/>
      </c>
      <c r="AA34" s="179">
        <f>'Slot calculations'!BF23</f>
        <v/>
      </c>
      <c r="AB34" s="179">
        <f>'Slot calculations'!BG23</f>
        <v/>
      </c>
      <c r="AC34" s="179">
        <f>'Slot calculations'!BH23</f>
        <v/>
      </c>
      <c r="AD34" s="179">
        <f>'Slot calculations'!BI23</f>
        <v/>
      </c>
      <c r="AE34" s="180">
        <f>'Slot calculations'!BJ23</f>
        <v/>
      </c>
      <c r="AF34" s="180">
        <f>'Slot calculations'!BK23</f>
        <v/>
      </c>
      <c r="AG34" s="180">
        <f>'Slot calculations'!BL23</f>
        <v/>
      </c>
      <c r="AH34" s="180">
        <f>'Slot calculations'!BM23</f>
        <v/>
      </c>
      <c r="AI34" s="180">
        <f>'Slot calculations'!BN23</f>
        <v/>
      </c>
      <c r="AJ34" s="180">
        <f>'Slot calculations'!BO23</f>
        <v/>
      </c>
    </row>
    <row r="35" ht="16.5" customHeight="1" thickBot="1">
      <c r="A35" s="3" t="n">
        <v>12</v>
      </c>
      <c r="B35" s="133" t="inlineStr">
        <is>
          <t>Murray State</t>
        </is>
      </c>
      <c r="C35" s="60" t="n"/>
      <c r="D35" s="60" t="n"/>
      <c r="E35" s="181" t="n">
        <v>0</v>
      </c>
      <c r="F35" s="182" t="n">
        <v>0</v>
      </c>
      <c r="G35" s="182" t="n">
        <v>0</v>
      </c>
      <c r="H35" s="182" t="n">
        <v>0</v>
      </c>
      <c r="I35" s="182" t="n">
        <v>0</v>
      </c>
      <c r="J35" s="182" t="n">
        <v>0</v>
      </c>
      <c r="K35" s="23">
        <f>REPT(CHAR(152),SUM($V35:$X35)+Y35+AE35)</f>
        <v/>
      </c>
      <c r="L35" s="8">
        <f>REPT(CHAR(152),SUM($V35:$X35)+Z35+AF35)</f>
        <v/>
      </c>
      <c r="M35" s="8">
        <f>REPT(CHAR(152),SUM($V35:$X35)+AA35+AG35)</f>
        <v/>
      </c>
      <c r="N35" s="8">
        <f>REPT(CHAR(152),SUM($V35:$X35)+AB35+AH35)</f>
        <v/>
      </c>
      <c r="O35" s="8">
        <f>REPT(CHAR(152),SUM($V35:$X35)+AC35+AI35)</f>
        <v/>
      </c>
      <c r="P35" s="22">
        <f>REPT(CHAR(152),SUM($V35:$X35)+AD35+AJ35)</f>
        <v/>
      </c>
      <c r="Q35" s="176">
        <f>VLOOKUP(B35,Quality!A$2:B$252,2,FALSE)</f>
        <v/>
      </c>
      <c r="R35" s="176">
        <f>VLOOKUP(B35,Size!A$2:B$299,2,FALSE)</f>
        <v/>
      </c>
      <c r="S35" s="176">
        <f>VLOOKUP(B35,Mom!A$2:B$68,2,FALSE)</f>
        <v/>
      </c>
      <c r="T35" s="177">
        <f t="array" ref="T35">MEDIAN(IF($A$14:$A$77=$A35,Q$14:Q$77))</f>
        <v/>
      </c>
      <c r="U35" s="177">
        <f t="array" ref="U35">MEDIAN(IF($A$14:$A$77=$A35,R$14:R$77))</f>
        <v/>
      </c>
      <c r="V35" s="178">
        <f>IF(Q35&gt;T35,1,0)</f>
        <v/>
      </c>
      <c r="W35" s="178">
        <f>IF(R35&gt;U35,1,0)</f>
        <v/>
      </c>
      <c r="X35" s="178">
        <f>IF(OR(AND(A35&lt;9,S35&gt;3),AND(A35&gt;8,S35&lt;4)),1,0)</f>
        <v/>
      </c>
      <c r="Y35" s="179">
        <f>'Slot calculations'!BD24</f>
        <v/>
      </c>
      <c r="Z35" s="179">
        <f>'Slot calculations'!BE24</f>
        <v/>
      </c>
      <c r="AA35" s="179">
        <f>'Slot calculations'!BF24</f>
        <v/>
      </c>
      <c r="AB35" s="179">
        <f>'Slot calculations'!BG24</f>
        <v/>
      </c>
      <c r="AC35" s="179">
        <f>'Slot calculations'!BH24</f>
        <v/>
      </c>
      <c r="AD35" s="179">
        <f>'Slot calculations'!BI24</f>
        <v/>
      </c>
      <c r="AE35" s="180">
        <f>'Slot calculations'!BJ24</f>
        <v/>
      </c>
      <c r="AF35" s="180">
        <f>'Slot calculations'!BK24</f>
        <v/>
      </c>
      <c r="AG35" s="180">
        <f>'Slot calculations'!BL24</f>
        <v/>
      </c>
      <c r="AH35" s="180">
        <f>'Slot calculations'!BM24</f>
        <v/>
      </c>
      <c r="AI35" s="180">
        <f>'Slot calculations'!BN24</f>
        <v/>
      </c>
      <c r="AJ35" s="180">
        <f>'Slot calculations'!BO24</f>
        <v/>
      </c>
    </row>
    <row r="36" ht="15.75" customHeight="1">
      <c r="A36" s="3" t="n">
        <v>4</v>
      </c>
      <c r="B36" s="133" t="inlineStr">
        <is>
          <t>Florida State</t>
        </is>
      </c>
      <c r="C36" s="60" t="n"/>
      <c r="D36" s="60" t="n"/>
      <c r="E36" s="183" t="n">
        <v>1</v>
      </c>
      <c r="F36" s="182" t="n">
        <v>0</v>
      </c>
      <c r="G36" s="182" t="n">
        <v>0</v>
      </c>
      <c r="H36" s="182" t="n">
        <v>0</v>
      </c>
      <c r="I36" s="182" t="n">
        <v>0</v>
      </c>
      <c r="J36" s="182" t="n">
        <v>0</v>
      </c>
      <c r="K36" s="21">
        <f>REPT(CHAR(152),SUM($V36:$X36)+Y36+AE36)</f>
        <v/>
      </c>
      <c r="L36" s="8">
        <f>REPT(CHAR(152),SUM($V36:$X36)+Z36+AF36)</f>
        <v/>
      </c>
      <c r="M36" s="8">
        <f>REPT(CHAR(152),SUM($V36:$X36)+AA36+AG36)</f>
        <v/>
      </c>
      <c r="N36" s="8">
        <f>REPT(CHAR(152),SUM($V36:$X36)+AB36+AH36)</f>
        <v/>
      </c>
      <c r="O36" s="8">
        <f>REPT(CHAR(152),SUM($V36:$X36)+AC36+AI36)</f>
        <v/>
      </c>
      <c r="P36" s="22">
        <f>REPT(CHAR(152),SUM($V36:$X36)+AD36+AJ36)</f>
        <v/>
      </c>
      <c r="Q36" s="176">
        <f>VLOOKUP(B36,Quality!A$2:B$252,2,FALSE)</f>
        <v/>
      </c>
      <c r="R36" s="176">
        <f>VLOOKUP(B36,Size!A$2:B$299,2,FALSE)</f>
        <v/>
      </c>
      <c r="S36" s="176">
        <f>VLOOKUP(B36,Mom!A$2:B$68,2,FALSE)</f>
        <v/>
      </c>
      <c r="T36" s="177">
        <f t="array" ref="T36">MEDIAN(IF($A$14:$A$77=$A36,Q$14:Q$77))</f>
        <v/>
      </c>
      <c r="U36" s="177">
        <f t="array" ref="U36">MEDIAN(IF($A$14:$A$77=$A36,R$14:R$77))</f>
        <v/>
      </c>
      <c r="V36" s="178">
        <f>IF(Q36&gt;T36,1,0)</f>
        <v/>
      </c>
      <c r="W36" s="178">
        <f>IF(R36&gt;U36,1,0)</f>
        <v/>
      </c>
      <c r="X36" s="178">
        <f>IF(OR(AND(A36&lt;9,S36&gt;3),AND(A36&gt;8,S36&lt;4)),1,0)</f>
        <v/>
      </c>
      <c r="Y36" s="179">
        <f>'Slot calculations'!BD25</f>
        <v/>
      </c>
      <c r="Z36" s="179">
        <f>'Slot calculations'!BE25</f>
        <v/>
      </c>
      <c r="AA36" s="179">
        <f>'Slot calculations'!BF25</f>
        <v/>
      </c>
      <c r="AB36" s="179">
        <f>'Slot calculations'!BG25</f>
        <v/>
      </c>
      <c r="AC36" s="179">
        <f>'Slot calculations'!BH25</f>
        <v/>
      </c>
      <c r="AD36" s="179">
        <f>'Slot calculations'!BI25</f>
        <v/>
      </c>
      <c r="AE36" s="180">
        <f>'Slot calculations'!BJ25</f>
        <v/>
      </c>
      <c r="AF36" s="180">
        <f>'Slot calculations'!BK25</f>
        <v/>
      </c>
      <c r="AG36" s="180">
        <f>'Slot calculations'!BL25</f>
        <v/>
      </c>
      <c r="AH36" s="180">
        <f>'Slot calculations'!BM25</f>
        <v/>
      </c>
      <c r="AI36" s="180">
        <f>'Slot calculations'!BN25</f>
        <v/>
      </c>
      <c r="AJ36" s="180">
        <f>'Slot calculations'!BO25</f>
        <v/>
      </c>
    </row>
    <row r="37" ht="16.5" customHeight="1" thickBot="1">
      <c r="A37" s="3" t="n">
        <v>13</v>
      </c>
      <c r="B37" s="133" t="inlineStr">
        <is>
          <t>Vermont</t>
        </is>
      </c>
      <c r="C37" s="60" t="n"/>
      <c r="D37" s="60" t="n"/>
      <c r="E37" s="181" t="n">
        <v>0</v>
      </c>
      <c r="F37" s="184" t="n">
        <v>0</v>
      </c>
      <c r="G37" s="184" t="n">
        <v>0</v>
      </c>
      <c r="H37" s="182" t="n">
        <v>0</v>
      </c>
      <c r="I37" s="182" t="n">
        <v>0</v>
      </c>
      <c r="J37" s="182" t="n">
        <v>0</v>
      </c>
      <c r="K37" s="23">
        <f>REPT(CHAR(152),SUM($V37:$X37)+Y37+AE37)</f>
        <v/>
      </c>
      <c r="L37" s="12">
        <f>REPT(CHAR(152),SUM($V37:$X37)+Z37+AF37)</f>
        <v/>
      </c>
      <c r="M37" s="12">
        <f>REPT(CHAR(152),SUM($V37:$X37)+AA37+AG37)</f>
        <v/>
      </c>
      <c r="N37" s="8">
        <f>REPT(CHAR(152),SUM($V37:$X37)+AB37+AH37)</f>
        <v/>
      </c>
      <c r="O37" s="8">
        <f>REPT(CHAR(152),SUM($V37:$X37)+AC37+AI37)</f>
        <v/>
      </c>
      <c r="P37" s="22">
        <f>REPT(CHAR(152),SUM($V37:$X37)+AD37+AJ37)</f>
        <v/>
      </c>
      <c r="Q37" s="176">
        <f>VLOOKUP(B37,Quality!A$2:B$252,2,FALSE)</f>
        <v/>
      </c>
      <c r="R37" s="176">
        <f>VLOOKUP(B37,Size!A$2:B$299,2,FALSE)</f>
        <v/>
      </c>
      <c r="S37" s="176">
        <f>VLOOKUP(B37,Mom!A$2:B$68,2,FALSE)</f>
        <v/>
      </c>
      <c r="T37" s="177">
        <f t="array" ref="T37">MEDIAN(IF($A$14:$A$77=$A37,Q$14:Q$77))</f>
        <v/>
      </c>
      <c r="U37" s="177">
        <f t="array" ref="U37">MEDIAN(IF($A$14:$A$77=$A37,R$14:R$77))</f>
        <v/>
      </c>
      <c r="V37" s="178">
        <f>IF(Q37&gt;T37,1,0)</f>
        <v/>
      </c>
      <c r="W37" s="178">
        <f>IF(R37&gt;U37,1,0)</f>
        <v/>
      </c>
      <c r="X37" s="178">
        <f>IF(OR(AND(A37&lt;9,S37&gt;3),AND(A37&gt;8,S37&lt;4)),1,0)</f>
        <v/>
      </c>
      <c r="Y37" s="179">
        <f>'Slot calculations'!BD26</f>
        <v/>
      </c>
      <c r="Z37" s="179">
        <f>'Slot calculations'!BE26</f>
        <v/>
      </c>
      <c r="AA37" s="179">
        <f>'Slot calculations'!BF26</f>
        <v/>
      </c>
      <c r="AB37" s="179">
        <f>'Slot calculations'!BG26</f>
        <v/>
      </c>
      <c r="AC37" s="179">
        <f>'Slot calculations'!BH26</f>
        <v/>
      </c>
      <c r="AD37" s="179">
        <f>'Slot calculations'!BI26</f>
        <v/>
      </c>
      <c r="AE37" s="180">
        <f>'Slot calculations'!BJ26</f>
        <v/>
      </c>
      <c r="AF37" s="180">
        <f>'Slot calculations'!BK26</f>
        <v/>
      </c>
      <c r="AG37" s="180">
        <f>'Slot calculations'!BL26</f>
        <v/>
      </c>
      <c r="AH37" s="180">
        <f>'Slot calculations'!BM26</f>
        <v/>
      </c>
      <c r="AI37" s="180">
        <f>'Slot calculations'!BN26</f>
        <v/>
      </c>
      <c r="AJ37" s="180">
        <f>'Slot calculations'!BO26</f>
        <v/>
      </c>
    </row>
    <row r="38" ht="15.75" customHeight="1">
      <c r="A38" s="3" t="n">
        <v>6</v>
      </c>
      <c r="B38" s="133" t="inlineStr">
        <is>
          <t>Buffalo</t>
        </is>
      </c>
      <c r="C38" s="60" t="n"/>
      <c r="D38" s="60" t="n"/>
      <c r="E38" s="183" t="n">
        <v>1</v>
      </c>
      <c r="F38" s="182" t="n">
        <v>1</v>
      </c>
      <c r="G38" s="182" t="n">
        <v>1</v>
      </c>
      <c r="H38" s="182" t="n">
        <v>0</v>
      </c>
      <c r="I38" s="182" t="n">
        <v>0</v>
      </c>
      <c r="J38" s="182" t="n">
        <v>0</v>
      </c>
      <c r="K38" s="21">
        <f>REPT(CHAR(152),SUM($V38:$X38)+Y38+AE38)</f>
        <v/>
      </c>
      <c r="L38" s="8">
        <f>REPT(CHAR(152),SUM($V38:$X38)+Z38+AF38)</f>
        <v/>
      </c>
      <c r="M38" s="8">
        <f>REPT(CHAR(152),SUM($V38:$X38)+AA38+AG38)</f>
        <v/>
      </c>
      <c r="N38" s="8">
        <f>REPT(CHAR(152),SUM($V38:$X38)+AB38+AH38)</f>
        <v/>
      </c>
      <c r="O38" s="8">
        <f>REPT(CHAR(152),SUM($V38:$X38)+AC38+AI38)</f>
        <v/>
      </c>
      <c r="P38" s="22">
        <f>REPT(CHAR(152),SUM($V38:$X38)+AD38+AJ38)</f>
        <v/>
      </c>
      <c r="Q38" s="176">
        <f>VLOOKUP(B38,Quality!A$2:B$252,2,FALSE)</f>
        <v/>
      </c>
      <c r="R38" s="176">
        <f>VLOOKUP(B38,Size!A$2:B$299,2,FALSE)</f>
        <v/>
      </c>
      <c r="S38" s="176">
        <f>VLOOKUP(B38,Mom!A$2:B$68,2,FALSE)</f>
        <v/>
      </c>
      <c r="T38" s="177">
        <f t="array" ref="T38">MEDIAN(IF($A$14:$A$77=$A38,Q$14:Q$77))</f>
        <v/>
      </c>
      <c r="U38" s="177">
        <f t="array" ref="U38">MEDIAN(IF($A$14:$A$77=$A38,R$14:R$77))</f>
        <v/>
      </c>
      <c r="V38" s="178">
        <f>IF(Q38&gt;T38,1,0)</f>
        <v/>
      </c>
      <c r="W38" s="178">
        <f>IF(R38&gt;U38,1,0)</f>
        <v/>
      </c>
      <c r="X38" s="178">
        <f>IF(OR(AND(A38&lt;9,S38&gt;3),AND(A38&gt;8,S38&lt;4)),1,0)</f>
        <v/>
      </c>
      <c r="Y38" s="179">
        <f>'Slot calculations'!BD27</f>
        <v/>
      </c>
      <c r="Z38" s="179">
        <f>'Slot calculations'!BE27</f>
        <v/>
      </c>
      <c r="AA38" s="179">
        <f>'Slot calculations'!BF27</f>
        <v/>
      </c>
      <c r="AB38" s="179">
        <f>'Slot calculations'!BG27</f>
        <v/>
      </c>
      <c r="AC38" s="179">
        <f>'Slot calculations'!BH27</f>
        <v/>
      </c>
      <c r="AD38" s="179">
        <f>'Slot calculations'!BI27</f>
        <v/>
      </c>
      <c r="AE38" s="180">
        <f>'Slot calculations'!BJ27</f>
        <v/>
      </c>
      <c r="AF38" s="180">
        <f>'Slot calculations'!BK27</f>
        <v/>
      </c>
      <c r="AG38" s="180">
        <f>'Slot calculations'!BL27</f>
        <v/>
      </c>
      <c r="AH38" s="180">
        <f>'Slot calculations'!BM27</f>
        <v/>
      </c>
      <c r="AI38" s="180">
        <f>'Slot calculations'!BN27</f>
        <v/>
      </c>
      <c r="AJ38" s="180">
        <f>'Slot calculations'!BO27</f>
        <v/>
      </c>
    </row>
    <row r="39" ht="16.5" customHeight="1" thickBot="1">
      <c r="A39" s="3" t="n">
        <v>11</v>
      </c>
      <c r="B39" s="133" t="inlineStr">
        <is>
          <t>AS/SJ</t>
        </is>
      </c>
      <c r="C39" s="60" t="n"/>
      <c r="D39" s="60" t="n"/>
      <c r="E39" s="181" t="n">
        <v>0</v>
      </c>
      <c r="F39" s="182" t="n">
        <v>0</v>
      </c>
      <c r="G39" s="182" t="n">
        <v>0</v>
      </c>
      <c r="H39" s="182" t="n">
        <v>0</v>
      </c>
      <c r="I39" s="182" t="n">
        <v>0</v>
      </c>
      <c r="J39" s="182" t="n">
        <v>0</v>
      </c>
      <c r="K39" s="23">
        <f>REPT(CHAR(152),SUM($V39:$X39)+Y39+AE39)</f>
        <v/>
      </c>
      <c r="L39" s="8">
        <f>REPT(CHAR(152),SUM($V39:$X39)+Z39+AF39)</f>
        <v/>
      </c>
      <c r="M39" s="8">
        <f>REPT(CHAR(152),SUM($V39:$X39)+AA39+AG39)</f>
        <v/>
      </c>
      <c r="N39" s="8">
        <f>REPT(CHAR(152),SUM($V39:$X39)+AB39+AH39)</f>
        <v/>
      </c>
      <c r="O39" s="8">
        <f>REPT(CHAR(152),SUM($V39:$X39)+AC39+AI39)</f>
        <v/>
      </c>
      <c r="P39" s="22">
        <f>REPT(CHAR(152),SUM($V39:$X39)+AD39+AJ39)</f>
        <v/>
      </c>
      <c r="Q39" s="176">
        <f>(Q84+Q85)/2</f>
        <v/>
      </c>
      <c r="R39" s="176">
        <f>(R84+R85)/2</f>
        <v/>
      </c>
      <c r="S39" s="176">
        <f>(S84+S85)/2</f>
        <v/>
      </c>
      <c r="T39" s="177">
        <f t="array" ref="T39">MEDIAN(IF($A$14:$A$77=$A39,Q$14:Q$77))</f>
        <v/>
      </c>
      <c r="U39" s="177">
        <f t="array" ref="U39">MEDIAN(IF($A$14:$A$77=$A39,R$14:R$77))</f>
        <v/>
      </c>
      <c r="V39" s="178">
        <f>IF(Q39&gt;T39,1,0)</f>
        <v/>
      </c>
      <c r="W39" s="178">
        <f>IF(R39&gt;U39,1,0)</f>
        <v/>
      </c>
      <c r="X39" s="178">
        <f>IF(OR(AND(A39&lt;9,S39&gt;3),AND(A39&gt;8,S39&lt;4)),1,0)</f>
        <v/>
      </c>
      <c r="Y39" s="179">
        <f>'Slot calculations'!BD28</f>
        <v/>
      </c>
      <c r="Z39" s="179">
        <f>'Slot calculations'!BE28</f>
        <v/>
      </c>
      <c r="AA39" s="179">
        <f>'Slot calculations'!BF28</f>
        <v/>
      </c>
      <c r="AB39" s="179">
        <f>'Slot calculations'!BG28</f>
        <v/>
      </c>
      <c r="AC39" s="179">
        <f>'Slot calculations'!BH28</f>
        <v/>
      </c>
      <c r="AD39" s="179">
        <f>'Slot calculations'!BI28</f>
        <v/>
      </c>
      <c r="AE39" s="180">
        <f>'Slot calculations'!BJ28</f>
        <v/>
      </c>
      <c r="AF39" s="180">
        <f>'Slot calculations'!BK28</f>
        <v/>
      </c>
      <c r="AG39" s="180">
        <f>'Slot calculations'!BL28</f>
        <v/>
      </c>
      <c r="AH39" s="180">
        <f>'Slot calculations'!BM28</f>
        <v/>
      </c>
      <c r="AI39" s="180">
        <f>'Slot calculations'!BN28</f>
        <v/>
      </c>
      <c r="AJ39" s="180">
        <f>'Slot calculations'!BO28</f>
        <v/>
      </c>
    </row>
    <row r="40" ht="15.75" customHeight="1">
      <c r="A40" s="3" t="n">
        <v>3</v>
      </c>
      <c r="B40" s="133" t="inlineStr">
        <is>
          <t>Texas Tech</t>
        </is>
      </c>
      <c r="C40" s="60" t="n"/>
      <c r="D40" s="60" t="n"/>
      <c r="E40" s="183" t="n">
        <v>1</v>
      </c>
      <c r="F40" s="182" t="n">
        <v>0</v>
      </c>
      <c r="G40" s="182" t="n">
        <v>0</v>
      </c>
      <c r="H40" s="182" t="n">
        <v>0</v>
      </c>
      <c r="I40" s="182" t="n">
        <v>0</v>
      </c>
      <c r="J40" s="182" t="n">
        <v>0</v>
      </c>
      <c r="K40" s="21">
        <f>REPT(CHAR(152),SUM($V40:$X40)+Y40+AE40)</f>
        <v/>
      </c>
      <c r="L40" s="8">
        <f>REPT(CHAR(152),SUM($V40:$X40)+Z40+AF40)</f>
        <v/>
      </c>
      <c r="M40" s="8">
        <f>REPT(CHAR(152),SUM($V40:$X40)+AA40+AG40)</f>
        <v/>
      </c>
      <c r="N40" s="8">
        <f>REPT(CHAR(152),SUM($V40:$X40)+AB40+AH40)</f>
        <v/>
      </c>
      <c r="O40" s="8">
        <f>REPT(CHAR(152),SUM($V40:$X40)+AC40+AI40)</f>
        <v/>
      </c>
      <c r="P40" s="22">
        <f>REPT(CHAR(152),SUM($V40:$X40)+AD40+AJ40)</f>
        <v/>
      </c>
      <c r="Q40" s="176">
        <f>VLOOKUP(B40,Quality!A$2:B$252,2,FALSE)</f>
        <v/>
      </c>
      <c r="R40" s="176">
        <f>VLOOKUP(B40,Size!A$2:B$299,2,FALSE)</f>
        <v/>
      </c>
      <c r="S40" s="176">
        <f>VLOOKUP(B40,Mom!A$2:B$68,2,FALSE)</f>
        <v/>
      </c>
      <c r="T40" s="177">
        <f t="array" ref="T40">MEDIAN(IF($A$14:$A$77=$A40,Q$14:Q$77))</f>
        <v/>
      </c>
      <c r="U40" s="177">
        <f t="array" ref="U40">MEDIAN(IF($A$14:$A$77=$A40,R$14:R$77))</f>
        <v/>
      </c>
      <c r="V40" s="178">
        <f>IF(Q40&gt;T40,1,0)</f>
        <v/>
      </c>
      <c r="W40" s="178">
        <f>IF(R40&gt;U40,1,0)</f>
        <v/>
      </c>
      <c r="X40" s="178">
        <f>IF(OR(AND(A40&lt;9,S40&gt;3),AND(A40&gt;8,S40&lt;4)),1,0)</f>
        <v/>
      </c>
      <c r="Y40" s="179">
        <f>'Slot calculations'!BD29</f>
        <v/>
      </c>
      <c r="Z40" s="179">
        <f>'Slot calculations'!BE29</f>
        <v/>
      </c>
      <c r="AA40" s="179">
        <f>'Slot calculations'!BF29</f>
        <v/>
      </c>
      <c r="AB40" s="179">
        <f>'Slot calculations'!BG29</f>
        <v/>
      </c>
      <c r="AC40" s="179">
        <f>'Slot calculations'!BH29</f>
        <v/>
      </c>
      <c r="AD40" s="179">
        <f>'Slot calculations'!BI29</f>
        <v/>
      </c>
      <c r="AE40" s="180">
        <f>'Slot calculations'!BJ29</f>
        <v/>
      </c>
      <c r="AF40" s="180">
        <f>'Slot calculations'!BK29</f>
        <v/>
      </c>
      <c r="AG40" s="180">
        <f>'Slot calculations'!BL29</f>
        <v/>
      </c>
      <c r="AH40" s="180">
        <f>'Slot calculations'!BM29</f>
        <v/>
      </c>
      <c r="AI40" s="180">
        <f>'Slot calculations'!BN29</f>
        <v/>
      </c>
      <c r="AJ40" s="180">
        <f>'Slot calculations'!BO29</f>
        <v/>
      </c>
    </row>
    <row r="41" ht="16.5" customHeight="1" thickBot="1">
      <c r="A41" s="3" t="n">
        <v>14</v>
      </c>
      <c r="B41" s="133" t="inlineStr">
        <is>
          <t>Northern Kentucky</t>
        </is>
      </c>
      <c r="C41" s="60" t="n"/>
      <c r="D41" s="60" t="n"/>
      <c r="E41" s="181" t="n">
        <v>0</v>
      </c>
      <c r="F41" s="184" t="n">
        <v>0</v>
      </c>
      <c r="G41" s="182" t="n">
        <v>0</v>
      </c>
      <c r="H41" s="182" t="n">
        <v>0</v>
      </c>
      <c r="I41" s="182" t="n">
        <v>0</v>
      </c>
      <c r="J41" s="182" t="n">
        <v>0</v>
      </c>
      <c r="K41" s="23">
        <f>REPT(CHAR(152),SUM($V41:$X41)+Y41+AE41)</f>
        <v/>
      </c>
      <c r="L41" s="12">
        <f>REPT(CHAR(152),SUM($V41:$X41)+Z41+AF41)</f>
        <v/>
      </c>
      <c r="M41" s="8">
        <f>REPT(CHAR(152),SUM($V41:$X41)+AA41+AG41)</f>
        <v/>
      </c>
      <c r="N41" s="8">
        <f>REPT(CHAR(152),SUM($V41:$X41)+AB41+AH41)</f>
        <v/>
      </c>
      <c r="O41" s="8">
        <f>REPT(CHAR(152),SUM($V41:$X41)+AC41+AI41)</f>
        <v/>
      </c>
      <c r="P41" s="22">
        <f>REPT(CHAR(152),SUM($V41:$X41)+AD41+AJ41)</f>
        <v/>
      </c>
      <c r="Q41" s="176">
        <f>VLOOKUP(B41,Quality!A$2:B$252,2,FALSE)</f>
        <v/>
      </c>
      <c r="R41" s="176">
        <f>VLOOKUP(B41,Size!A$2:B$299,2,FALSE)</f>
        <v/>
      </c>
      <c r="S41" s="176">
        <f>VLOOKUP(B41,Mom!A$2:B$68,2,FALSE)</f>
        <v/>
      </c>
      <c r="T41" s="177">
        <f t="array" ref="T41">MEDIAN(IF($A$14:$A$77=$A41,Q$14:Q$77))</f>
        <v/>
      </c>
      <c r="U41" s="177">
        <f t="array" ref="U41">MEDIAN(IF($A$14:$A$77=$A41,R$14:R$77))</f>
        <v/>
      </c>
      <c r="V41" s="178">
        <f>IF(Q41&gt;T41,1,0)</f>
        <v/>
      </c>
      <c r="W41" s="178">
        <f>IF(R41&gt;U41,1,0)</f>
        <v/>
      </c>
      <c r="X41" s="178">
        <f>IF(OR(AND(A41&lt;9,S41&gt;3),AND(A41&gt;8,S41&lt;4)),1,0)</f>
        <v/>
      </c>
      <c r="Y41" s="179">
        <f>'Slot calculations'!BD30</f>
        <v/>
      </c>
      <c r="Z41" s="179">
        <f>'Slot calculations'!BE30</f>
        <v/>
      </c>
      <c r="AA41" s="179">
        <f>'Slot calculations'!BF30</f>
        <v/>
      </c>
      <c r="AB41" s="179">
        <f>'Slot calculations'!BG30</f>
        <v/>
      </c>
      <c r="AC41" s="179">
        <f>'Slot calculations'!BH30</f>
        <v/>
      </c>
      <c r="AD41" s="179">
        <f>'Slot calculations'!BI30</f>
        <v/>
      </c>
      <c r="AE41" s="180">
        <f>'Slot calculations'!BJ30</f>
        <v/>
      </c>
      <c r="AF41" s="180">
        <f>'Slot calculations'!BK30</f>
        <v/>
      </c>
      <c r="AG41" s="180">
        <f>'Slot calculations'!BL30</f>
        <v/>
      </c>
      <c r="AH41" s="180">
        <f>'Slot calculations'!BM30</f>
        <v/>
      </c>
      <c r="AI41" s="180">
        <f>'Slot calculations'!BN30</f>
        <v/>
      </c>
      <c r="AJ41" s="180">
        <f>'Slot calculations'!BO30</f>
        <v/>
      </c>
    </row>
    <row r="42" ht="15.75" customHeight="1">
      <c r="A42" s="3" t="n">
        <v>7</v>
      </c>
      <c r="B42" s="133" t="inlineStr">
        <is>
          <t>Nevada</t>
        </is>
      </c>
      <c r="C42" s="60" t="n"/>
      <c r="D42" s="60" t="n"/>
      <c r="E42" s="183" t="n">
        <v>1</v>
      </c>
      <c r="F42" s="182" t="n">
        <v>1</v>
      </c>
      <c r="G42" s="182" t="n">
        <v>0</v>
      </c>
      <c r="H42" s="182" t="n">
        <v>0</v>
      </c>
      <c r="I42" s="182" t="n">
        <v>0</v>
      </c>
      <c r="J42" s="182" t="n">
        <v>0</v>
      </c>
      <c r="K42" s="21">
        <f>REPT(CHAR(152),SUM($V42:$X42)+Y42+AE42)</f>
        <v/>
      </c>
      <c r="L42" s="8">
        <f>REPT(CHAR(152),SUM($V42:$X42)+Z42+AF42)</f>
        <v/>
      </c>
      <c r="M42" s="8">
        <f>REPT(CHAR(152),SUM($V42:$X42)+AA42+AG42)</f>
        <v/>
      </c>
      <c r="N42" s="8">
        <f>REPT(CHAR(152),SUM($V42:$X42)+AB42+AH42)</f>
        <v/>
      </c>
      <c r="O42" s="8">
        <f>REPT(CHAR(152),SUM($V42:$X42)+AC42+AI42)</f>
        <v/>
      </c>
      <c r="P42" s="22">
        <f>REPT(CHAR(152),SUM($V42:$X42)+AD42+AJ42)</f>
        <v/>
      </c>
      <c r="Q42" s="176">
        <f>VLOOKUP(B42,Quality!A$2:B$252,2,FALSE)</f>
        <v/>
      </c>
      <c r="R42" s="176">
        <f>VLOOKUP(B42,Size!A$2:B$299,2,FALSE)</f>
        <v/>
      </c>
      <c r="S42" s="176">
        <f>VLOOKUP(B42,Mom!A$2:B$68,2,FALSE)</f>
        <v/>
      </c>
      <c r="T42" s="177">
        <f t="array" ref="T42">MEDIAN(IF($A$14:$A$77=$A42,Q$14:Q$77))</f>
        <v/>
      </c>
      <c r="U42" s="177">
        <f t="array" ref="U42">MEDIAN(IF($A$14:$A$77=$A42,R$14:R$77))</f>
        <v/>
      </c>
      <c r="V42" s="178">
        <f>IF(Q42&gt;T42,1,0)</f>
        <v/>
      </c>
      <c r="W42" s="178">
        <f>IF(R42&gt;U42,1,0)</f>
        <v/>
      </c>
      <c r="X42" s="178">
        <f>IF(OR(AND(A42&lt;9,S42&gt;3),AND(A42&gt;8,S42&lt;4)),1,0)</f>
        <v/>
      </c>
      <c r="Y42" s="179">
        <f>'Slot calculations'!BD31</f>
        <v/>
      </c>
      <c r="Z42" s="179">
        <f>'Slot calculations'!BE31</f>
        <v/>
      </c>
      <c r="AA42" s="179">
        <f>'Slot calculations'!BF31</f>
        <v/>
      </c>
      <c r="AB42" s="179">
        <f>'Slot calculations'!BG31</f>
        <v/>
      </c>
      <c r="AC42" s="179">
        <f>'Slot calculations'!BH31</f>
        <v/>
      </c>
      <c r="AD42" s="179">
        <f>'Slot calculations'!BI31</f>
        <v/>
      </c>
      <c r="AE42" s="180">
        <f>'Slot calculations'!BJ31</f>
        <v/>
      </c>
      <c r="AF42" s="180">
        <f>'Slot calculations'!BK31</f>
        <v/>
      </c>
      <c r="AG42" s="180">
        <f>'Slot calculations'!BL31</f>
        <v/>
      </c>
      <c r="AH42" s="180">
        <f>'Slot calculations'!BM31</f>
        <v/>
      </c>
      <c r="AI42" s="180">
        <f>'Slot calculations'!BN31</f>
        <v/>
      </c>
      <c r="AJ42" s="180">
        <f>'Slot calculations'!BO31</f>
        <v/>
      </c>
    </row>
    <row r="43" ht="16.5" customHeight="1" thickBot="1">
      <c r="A43" s="3" t="n">
        <v>10</v>
      </c>
      <c r="B43" s="133" t="inlineStr">
        <is>
          <t>Florida</t>
        </is>
      </c>
      <c r="C43" s="60" t="n"/>
      <c r="D43" s="60" t="n"/>
      <c r="E43" s="181" t="n">
        <v>0</v>
      </c>
      <c r="F43" s="182" t="n">
        <v>0</v>
      </c>
      <c r="G43" s="182" t="n">
        <v>0</v>
      </c>
      <c r="H43" s="182" t="n">
        <v>0</v>
      </c>
      <c r="I43" s="182" t="n">
        <v>0</v>
      </c>
      <c r="J43" s="182" t="n">
        <v>0</v>
      </c>
      <c r="K43" s="23">
        <f>REPT(CHAR(152),SUM($V43:$X43)+Y43+AE43)</f>
        <v/>
      </c>
      <c r="L43" s="8">
        <f>REPT(CHAR(152),SUM($V43:$X43)+Z43+AF43)</f>
        <v/>
      </c>
      <c r="M43" s="8">
        <f>REPT(CHAR(152),SUM($V43:$X43)+AA43+AG43)</f>
        <v/>
      </c>
      <c r="N43" s="8">
        <f>REPT(CHAR(152),SUM($V43:$X43)+AB43+AH43)</f>
        <v/>
      </c>
      <c r="O43" s="8">
        <f>REPT(CHAR(152),SUM($V43:$X43)+AC43+AI43)</f>
        <v/>
      </c>
      <c r="P43" s="22">
        <f>REPT(CHAR(152),SUM($V43:$X43)+AD43+AJ43)</f>
        <v/>
      </c>
      <c r="Q43" s="176">
        <f>VLOOKUP(B43,Quality!A$2:B$252,2,FALSE)</f>
        <v/>
      </c>
      <c r="R43" s="176">
        <f>VLOOKUP(B43,Size!A$2:B$299,2,FALSE)</f>
        <v/>
      </c>
      <c r="S43" s="176">
        <f>VLOOKUP(B43,Mom!A$2:B$68,2,FALSE)</f>
        <v/>
      </c>
      <c r="T43" s="177">
        <f t="array" ref="T43">MEDIAN(IF($A$14:$A$77=$A43,Q$14:Q$77))</f>
        <v/>
      </c>
      <c r="U43" s="177">
        <f t="array" ref="U43">MEDIAN(IF($A$14:$A$77=$A43,R$14:R$77))</f>
        <v/>
      </c>
      <c r="V43" s="178">
        <f>IF(Q43&gt;T43,1,0)</f>
        <v/>
      </c>
      <c r="W43" s="178">
        <f>IF(R43&gt;U43,1,0)</f>
        <v/>
      </c>
      <c r="X43" s="178">
        <f>IF(OR(AND(A43&lt;9,S43&gt;3),AND(A43&gt;8,S43&lt;4)),1,0)</f>
        <v/>
      </c>
      <c r="Y43" s="179">
        <f>'Slot calculations'!BD32</f>
        <v/>
      </c>
      <c r="Z43" s="179">
        <f>'Slot calculations'!BE32</f>
        <v/>
      </c>
      <c r="AA43" s="179">
        <f>'Slot calculations'!BF32</f>
        <v/>
      </c>
      <c r="AB43" s="179">
        <f>'Slot calculations'!BG32</f>
        <v/>
      </c>
      <c r="AC43" s="179">
        <f>'Slot calculations'!BH32</f>
        <v/>
      </c>
      <c r="AD43" s="179">
        <f>'Slot calculations'!BI32</f>
        <v/>
      </c>
      <c r="AE43" s="180">
        <f>'Slot calculations'!BJ32</f>
        <v/>
      </c>
      <c r="AF43" s="180">
        <f>'Slot calculations'!BK32</f>
        <v/>
      </c>
      <c r="AG43" s="180">
        <f>'Slot calculations'!BL32</f>
        <v/>
      </c>
      <c r="AH43" s="180">
        <f>'Slot calculations'!BM32</f>
        <v/>
      </c>
      <c r="AI43" s="180">
        <f>'Slot calculations'!BN32</f>
        <v/>
      </c>
      <c r="AJ43" s="180">
        <f>'Slot calculations'!BO32</f>
        <v/>
      </c>
    </row>
    <row r="44" ht="15.75" customHeight="1">
      <c r="A44" s="3" t="n">
        <v>2</v>
      </c>
      <c r="B44" s="133" t="inlineStr">
        <is>
          <t>Michigan</t>
        </is>
      </c>
      <c r="C44" s="60" t="n"/>
      <c r="D44" s="60" t="n"/>
      <c r="E44" s="183" t="n">
        <v>1</v>
      </c>
      <c r="F44" s="182" t="n">
        <v>0</v>
      </c>
      <c r="G44" s="182" t="n">
        <v>0</v>
      </c>
      <c r="H44" s="182" t="n">
        <v>0</v>
      </c>
      <c r="I44" s="182" t="n">
        <v>0</v>
      </c>
      <c r="J44" s="182" t="n">
        <v>0</v>
      </c>
      <c r="K44" s="21">
        <f>REPT(CHAR(152),SUM($V44:$X44)+Y44+AE44)</f>
        <v/>
      </c>
      <c r="L44" s="8">
        <f>REPT(CHAR(152),SUM($V44:$X44)+Z44+AF44)</f>
        <v/>
      </c>
      <c r="M44" s="8">
        <f>REPT(CHAR(152),SUM($V44:$X44)+AA44+AG44)</f>
        <v/>
      </c>
      <c r="N44" s="8">
        <f>REPT(CHAR(152),SUM($V44:$X44)+AB44+AH44)</f>
        <v/>
      </c>
      <c r="O44" s="8">
        <f>REPT(CHAR(152),SUM($V44:$X44)+AC44+AI44)</f>
        <v/>
      </c>
      <c r="P44" s="22">
        <f>REPT(CHAR(152),SUM($V44:$X44)+AD44+AJ44)</f>
        <v/>
      </c>
      <c r="Q44" s="176">
        <f>VLOOKUP(B44,Quality!A$2:B$252,2,FALSE)</f>
        <v/>
      </c>
      <c r="R44" s="176">
        <f>VLOOKUP(B44,Size!A$2:B$299,2,FALSE)</f>
        <v/>
      </c>
      <c r="S44" s="176">
        <f>VLOOKUP(B44,Mom!A$2:B$68,2,FALSE)</f>
        <v/>
      </c>
      <c r="T44" s="177">
        <f t="array" ref="T44">MEDIAN(IF($A$14:$A$77=$A44,Q$14:Q$77))</f>
        <v/>
      </c>
      <c r="U44" s="177">
        <f t="array" ref="U44">MEDIAN(IF($A$14:$A$77=$A44,R$14:R$77))</f>
        <v/>
      </c>
      <c r="V44" s="178">
        <f>IF(Q44&gt;T44,1,0)</f>
        <v/>
      </c>
      <c r="W44" s="178">
        <f>IF(R44&gt;U44,1,0)</f>
        <v/>
      </c>
      <c r="X44" s="178">
        <f>IF(OR(AND(A44&lt;9,S44&gt;3),AND(A44&gt;8,S44&lt;4)),1,0)</f>
        <v/>
      </c>
      <c r="Y44" s="179">
        <f>'Slot calculations'!BD33</f>
        <v/>
      </c>
      <c r="Z44" s="179">
        <f>'Slot calculations'!BE33</f>
        <v/>
      </c>
      <c r="AA44" s="179">
        <f>'Slot calculations'!BF33</f>
        <v/>
      </c>
      <c r="AB44" s="179">
        <f>'Slot calculations'!BG33</f>
        <v/>
      </c>
      <c r="AC44" s="179">
        <f>'Slot calculations'!BH33</f>
        <v/>
      </c>
      <c r="AD44" s="179">
        <f>'Slot calculations'!BI33</f>
        <v/>
      </c>
      <c r="AE44" s="180">
        <f>'Slot calculations'!BJ33</f>
        <v/>
      </c>
      <c r="AF44" s="180">
        <f>'Slot calculations'!BK33</f>
        <v/>
      </c>
      <c r="AG44" s="180">
        <f>'Slot calculations'!BL33</f>
        <v/>
      </c>
      <c r="AH44" s="180">
        <f>'Slot calculations'!BM33</f>
        <v/>
      </c>
      <c r="AI44" s="180">
        <f>'Slot calculations'!BN33</f>
        <v/>
      </c>
      <c r="AJ44" s="180">
        <f>'Slot calculations'!BO33</f>
        <v/>
      </c>
    </row>
    <row r="45" ht="16.5" customHeight="1" thickBot="1">
      <c r="A45" s="3" t="n">
        <v>15</v>
      </c>
      <c r="B45" s="133" t="inlineStr">
        <is>
          <t>Montana</t>
        </is>
      </c>
      <c r="C45" s="60" t="n"/>
      <c r="D45" s="60" t="n"/>
      <c r="E45" s="181" t="n">
        <v>0</v>
      </c>
      <c r="F45" s="184" t="n">
        <v>0</v>
      </c>
      <c r="G45" s="184" t="n">
        <v>0</v>
      </c>
      <c r="H45" s="182" t="n">
        <v>0</v>
      </c>
      <c r="I45" s="182" t="n">
        <v>0</v>
      </c>
      <c r="J45" s="182" t="n">
        <v>0</v>
      </c>
      <c r="K45" s="23">
        <f>REPT(CHAR(152),SUM($V45:$X45)+Y45+AE45)</f>
        <v/>
      </c>
      <c r="L45" s="12">
        <f>REPT(CHAR(152),SUM($V45:$X45)+Z45+AF45)</f>
        <v/>
      </c>
      <c r="M45" s="12">
        <f>REPT(CHAR(152),SUM($V45:$X45)+AA45+AG45)</f>
        <v/>
      </c>
      <c r="N45" s="12">
        <f>REPT(CHAR(152),SUM($V45:$X45)+AB45+AH45)</f>
        <v/>
      </c>
      <c r="O45" s="12">
        <f>REPT(CHAR(152),SUM($V45:$X45)+AC45+AI45)</f>
        <v/>
      </c>
      <c r="P45" s="22">
        <f>REPT(CHAR(152),SUM($V45:$X45)+AD45+AJ45)</f>
        <v/>
      </c>
      <c r="Q45" s="176">
        <f>VLOOKUP(B45,Quality!A$2:B$252,2,FALSE)</f>
        <v/>
      </c>
      <c r="R45" s="176">
        <f>VLOOKUP(B45,Size!A$2:B$299,2,FALSE)</f>
        <v/>
      </c>
      <c r="S45" s="176">
        <f>VLOOKUP(B45,Mom!A$2:B$68,2,FALSE)</f>
        <v/>
      </c>
      <c r="T45" s="177">
        <f t="array" ref="T45">MEDIAN(IF($A$14:$A$77=$A45,Q$14:Q$77))</f>
        <v/>
      </c>
      <c r="U45" s="177">
        <f t="array" ref="U45">MEDIAN(IF($A$14:$A$77=$A45,R$14:R$77))</f>
        <v/>
      </c>
      <c r="V45" s="178">
        <f>IF(Q45&gt;T45,1,0)</f>
        <v/>
      </c>
      <c r="W45" s="178">
        <f>IF(R45&gt;U45,1,0)</f>
        <v/>
      </c>
      <c r="X45" s="178">
        <f>IF(OR(AND(A45&lt;9,S45&gt;3),AND(A45&gt;8,S45&lt;4)),1,0)</f>
        <v/>
      </c>
      <c r="Y45" s="179">
        <f>'Slot calculations'!BD34</f>
        <v/>
      </c>
      <c r="Z45" s="179">
        <f>'Slot calculations'!BE34</f>
        <v/>
      </c>
      <c r="AA45" s="179">
        <f>'Slot calculations'!BF34</f>
        <v/>
      </c>
      <c r="AB45" s="179">
        <f>'Slot calculations'!BG34</f>
        <v/>
      </c>
      <c r="AC45" s="179">
        <f>'Slot calculations'!BH34</f>
        <v/>
      </c>
      <c r="AD45" s="179">
        <f>'Slot calculations'!BI34</f>
        <v/>
      </c>
      <c r="AE45" s="180">
        <f>'Slot calculations'!BJ34</f>
        <v/>
      </c>
      <c r="AF45" s="180">
        <f>'Slot calculations'!BK34</f>
        <v/>
      </c>
      <c r="AG45" s="180">
        <f>'Slot calculations'!BL34</f>
        <v/>
      </c>
      <c r="AH45" s="180">
        <f>'Slot calculations'!BM34</f>
        <v/>
      </c>
      <c r="AI45" s="180">
        <f>'Slot calculations'!BN34</f>
        <v/>
      </c>
      <c r="AJ45" s="180">
        <f>'Slot calculations'!BO34</f>
        <v/>
      </c>
    </row>
    <row r="46" ht="15.75" customHeight="1">
      <c r="A46" s="3" t="n">
        <v>1</v>
      </c>
      <c r="B46" s="133" t="inlineStr">
        <is>
          <t>Virginia</t>
        </is>
      </c>
      <c r="C46" s="60" t="n"/>
      <c r="D46" s="60" t="n"/>
      <c r="E46" s="173" t="n">
        <v>1</v>
      </c>
      <c r="F46" s="174" t="n">
        <v>1</v>
      </c>
      <c r="G46" s="174" t="n">
        <v>1</v>
      </c>
      <c r="H46" s="174" t="n">
        <v>1</v>
      </c>
      <c r="I46" s="174" t="n">
        <v>1</v>
      </c>
      <c r="J46" s="182" t="n">
        <v>0</v>
      </c>
      <c r="K46" s="24">
        <f>REPT(CHAR(152),SUM($V46:$X46)+Y46+AE46)</f>
        <v/>
      </c>
      <c r="L46" s="9">
        <f>REPT(CHAR(152),SUM($V46:$X46)+Z46+AF46)</f>
        <v/>
      </c>
      <c r="M46" s="9">
        <f>REPT(CHAR(152),SUM($V46:$X46)+AA46+AG46)</f>
        <v/>
      </c>
      <c r="N46" s="9">
        <f>REPT(CHAR(152),SUM($V46:$X46)+AB46+AH46)</f>
        <v/>
      </c>
      <c r="O46" s="9">
        <f>REPT(CHAR(152),SUM($V46:$X46)+AC46+AI46)</f>
        <v/>
      </c>
      <c r="P46" s="25">
        <f>REPT(CHAR(152),SUM($V46:$X46)+AD46+AJ46)</f>
        <v/>
      </c>
      <c r="Q46" s="176">
        <f>VLOOKUP(B46,Quality!A$2:B$252,2,FALSE)</f>
        <v/>
      </c>
      <c r="R46" s="176">
        <f>VLOOKUP(B46,Size!A$2:B$299,2,FALSE)</f>
        <v/>
      </c>
      <c r="S46" s="176">
        <f>VLOOKUP(B46,Mom!A$2:B$68,2,FALSE)</f>
        <v/>
      </c>
      <c r="T46" s="177">
        <f t="array" ref="T46">MEDIAN(IF($A$14:$A$77=$A46,Q$14:Q$77))</f>
        <v/>
      </c>
      <c r="U46" s="177">
        <f t="array" ref="U46">MEDIAN(IF($A$14:$A$77=$A46,R$14:R$77))</f>
        <v/>
      </c>
      <c r="V46" s="178">
        <f>IF(Q46&gt;T46,1,0)</f>
        <v/>
      </c>
      <c r="W46" s="178">
        <f>IF(R46&gt;U46,1,0)</f>
        <v/>
      </c>
      <c r="X46" s="178">
        <f>IF(OR(AND(A46&lt;9,S46&gt;3),AND(A46&gt;8,S46&lt;4)),1,0)</f>
        <v/>
      </c>
      <c r="Y46" s="179">
        <f>'Slot calculations'!BD35</f>
        <v/>
      </c>
      <c r="Z46" s="179">
        <f>'Slot calculations'!BE35</f>
        <v/>
      </c>
      <c r="AA46" s="179">
        <f>'Slot calculations'!BF35</f>
        <v/>
      </c>
      <c r="AB46" s="179">
        <f>'Slot calculations'!BG35</f>
        <v/>
      </c>
      <c r="AC46" s="179">
        <f>'Slot calculations'!BH35</f>
        <v/>
      </c>
      <c r="AD46" s="179">
        <f>'Slot calculations'!BI35</f>
        <v/>
      </c>
      <c r="AE46" s="180">
        <f>'Slot calculations'!BJ35</f>
        <v/>
      </c>
      <c r="AF46" s="180">
        <f>'Slot calculations'!BK35</f>
        <v/>
      </c>
      <c r="AG46" s="180">
        <f>'Slot calculations'!BL35</f>
        <v/>
      </c>
      <c r="AH46" s="180">
        <f>'Slot calculations'!BM35</f>
        <v/>
      </c>
      <c r="AI46" s="180">
        <f>'Slot calculations'!BN35</f>
        <v/>
      </c>
      <c r="AJ46" s="180">
        <f>'Slot calculations'!BO35</f>
        <v/>
      </c>
    </row>
    <row r="47" ht="16.5" customHeight="1" thickBot="1">
      <c r="A47" s="3" t="n">
        <v>16</v>
      </c>
      <c r="B47" s="133" t="inlineStr">
        <is>
          <t>Gardner-Webb</t>
        </is>
      </c>
      <c r="C47" s="60" t="n"/>
      <c r="D47" s="60" t="n"/>
      <c r="E47" s="181" t="n">
        <v>0</v>
      </c>
      <c r="F47" s="182" t="n">
        <v>0</v>
      </c>
      <c r="G47" s="182" t="n">
        <v>0</v>
      </c>
      <c r="H47" s="182" t="n">
        <v>0</v>
      </c>
      <c r="I47" s="182" t="n">
        <v>0</v>
      </c>
      <c r="J47" s="182" t="n">
        <v>0</v>
      </c>
      <c r="K47" s="26">
        <f>REPT(CHAR(152),SUM($V47:$X47)+Y47+AE47)</f>
        <v/>
      </c>
      <c r="L47" s="9">
        <f>REPT(CHAR(152),SUM($V47:$X47)+Z47+AF47)</f>
        <v/>
      </c>
      <c r="M47" s="9">
        <f>REPT(CHAR(152),SUM($V47:$X47)+AA47+AG47)</f>
        <v/>
      </c>
      <c r="N47" s="9">
        <f>REPT(CHAR(152),SUM($V47:$X47)+AB47+AH47)</f>
        <v/>
      </c>
      <c r="O47" s="9">
        <f>REPT(CHAR(152),SUM($V47:$X47)+AC47+AI47)</f>
        <v/>
      </c>
      <c r="P47" s="25">
        <f>REPT(CHAR(152),SUM($V47:$X47)+AD47+AJ47)</f>
        <v/>
      </c>
      <c r="Q47" s="176">
        <f>VLOOKUP(B47,Quality!A$2:B$252,2,FALSE)</f>
        <v/>
      </c>
      <c r="R47" s="176" t="n">
        <v>0</v>
      </c>
      <c r="S47" s="176">
        <f>VLOOKUP(B47,Mom!A$2:B$68,2,FALSE)</f>
        <v/>
      </c>
      <c r="T47" s="177">
        <f t="array" ref="T47">MEDIAN(IF($A$14:$A$77=$A47,Q$14:Q$77))</f>
        <v/>
      </c>
      <c r="U47" s="177">
        <f t="array" ref="U47">MEDIAN(IF($A$14:$A$77=$A47,R$14:R$77))</f>
        <v/>
      </c>
      <c r="V47" s="178">
        <f>IF(Q47&gt;T47,1,0)</f>
        <v/>
      </c>
      <c r="W47" s="178">
        <f>IF(R47&gt;U47,1,0)</f>
        <v/>
      </c>
      <c r="X47" s="178">
        <f>IF(OR(AND(A47&lt;9,S47&gt;3),AND(A47&gt;8,S47&lt;4)),1,0)</f>
        <v/>
      </c>
      <c r="Y47" s="179">
        <f>'Slot calculations'!BD36</f>
        <v/>
      </c>
      <c r="Z47" s="179">
        <f>'Slot calculations'!BE36</f>
        <v/>
      </c>
      <c r="AA47" s="179">
        <f>'Slot calculations'!BF36</f>
        <v/>
      </c>
      <c r="AB47" s="179">
        <f>'Slot calculations'!BG36</f>
        <v/>
      </c>
      <c r="AC47" s="179">
        <f>'Slot calculations'!BH36</f>
        <v/>
      </c>
      <c r="AD47" s="179">
        <f>'Slot calculations'!BI36</f>
        <v/>
      </c>
      <c r="AE47" s="180">
        <f>'Slot calculations'!BJ36</f>
        <v/>
      </c>
      <c r="AF47" s="180">
        <f>'Slot calculations'!BK36</f>
        <v/>
      </c>
      <c r="AG47" s="180">
        <f>'Slot calculations'!BL36</f>
        <v/>
      </c>
      <c r="AH47" s="180">
        <f>'Slot calculations'!BM36</f>
        <v/>
      </c>
      <c r="AI47" s="180">
        <f>'Slot calculations'!BN36</f>
        <v/>
      </c>
      <c r="AJ47" s="180">
        <f>'Slot calculations'!BO36</f>
        <v/>
      </c>
    </row>
    <row r="48" ht="15.75" customHeight="1">
      <c r="A48" s="3" t="n">
        <v>8</v>
      </c>
      <c r="B48" s="133" t="inlineStr">
        <is>
          <t>Mississippi State</t>
        </is>
      </c>
      <c r="C48" s="60" t="n"/>
      <c r="D48" s="60" t="n"/>
      <c r="E48" s="183" t="n">
        <v>1</v>
      </c>
      <c r="F48" s="182" t="n">
        <v>0</v>
      </c>
      <c r="G48" s="182" t="n">
        <v>0</v>
      </c>
      <c r="H48" s="182" t="n">
        <v>0</v>
      </c>
      <c r="I48" s="182" t="n">
        <v>0</v>
      </c>
      <c r="J48" s="182" t="n">
        <v>0</v>
      </c>
      <c r="K48" s="24">
        <f>REPT(CHAR(152),SUM($V48:$X48)+Y48+AE48)</f>
        <v/>
      </c>
      <c r="L48" s="9">
        <f>REPT(CHAR(152),SUM($V48:$X48)+Z48+AF48)</f>
        <v/>
      </c>
      <c r="M48" s="9">
        <f>REPT(CHAR(152),SUM($V48:$X48)+AA48+AG48)</f>
        <v/>
      </c>
      <c r="N48" s="9">
        <f>REPT(CHAR(152),SUM($V48:$X48)+AB48+AH48)</f>
        <v/>
      </c>
      <c r="O48" s="9">
        <f>REPT(CHAR(152),SUM($V48:$X48)+AC48+AI48)</f>
        <v/>
      </c>
      <c r="P48" s="25">
        <f>REPT(CHAR(152),SUM($V48:$X48)+AD48+AJ48)</f>
        <v/>
      </c>
      <c r="Q48" s="176">
        <f>VLOOKUP(B48,Quality!A$2:B$252,2,FALSE)</f>
        <v/>
      </c>
      <c r="R48" s="176">
        <f>VLOOKUP(B48,Size!A$2:B$299,2,FALSE)</f>
        <v/>
      </c>
      <c r="S48" s="176">
        <f>VLOOKUP(B48,Mom!A$2:B$68,2,FALSE)</f>
        <v/>
      </c>
      <c r="T48" s="177">
        <f t="array" ref="T48">MEDIAN(IF($A$14:$A$77=$A48,Q$14:Q$77))</f>
        <v/>
      </c>
      <c r="U48" s="177">
        <f t="array" ref="U48">MEDIAN(IF($A$14:$A$77=$A48,R$14:R$77))</f>
        <v/>
      </c>
      <c r="V48" s="178">
        <f>IF(Q48&gt;T48,1,0)</f>
        <v/>
      </c>
      <c r="W48" s="178">
        <f>IF(R48&gt;U48,1,0)</f>
        <v/>
      </c>
      <c r="X48" s="178">
        <f>IF(OR(AND(A48&lt;9,S48&gt;3),AND(A48&gt;8,S48&lt;4)),1,0)</f>
        <v/>
      </c>
      <c r="Y48" s="179">
        <f>'Slot calculations'!BD37</f>
        <v/>
      </c>
      <c r="Z48" s="179">
        <f>'Slot calculations'!BE37</f>
        <v/>
      </c>
      <c r="AA48" s="179">
        <f>'Slot calculations'!BF37</f>
        <v/>
      </c>
      <c r="AB48" s="179">
        <f>'Slot calculations'!BG37</f>
        <v/>
      </c>
      <c r="AC48" s="179">
        <f>'Slot calculations'!BH37</f>
        <v/>
      </c>
      <c r="AD48" s="179">
        <f>'Slot calculations'!BI37</f>
        <v/>
      </c>
      <c r="AE48" s="180">
        <f>'Slot calculations'!BJ37</f>
        <v/>
      </c>
      <c r="AF48" s="180">
        <f>'Slot calculations'!BK37</f>
        <v/>
      </c>
      <c r="AG48" s="180">
        <f>'Slot calculations'!BL37</f>
        <v/>
      </c>
      <c r="AH48" s="180">
        <f>'Slot calculations'!BM37</f>
        <v/>
      </c>
      <c r="AI48" s="180">
        <f>'Slot calculations'!BN37</f>
        <v/>
      </c>
      <c r="AJ48" s="180">
        <f>'Slot calculations'!BO37</f>
        <v/>
      </c>
    </row>
    <row r="49" ht="16.5" customHeight="1" thickBot="1">
      <c r="A49" s="3" t="n">
        <v>9</v>
      </c>
      <c r="B49" s="133" t="inlineStr">
        <is>
          <t>Oklahoma</t>
        </is>
      </c>
      <c r="C49" s="60" t="n"/>
      <c r="D49" s="60" t="n"/>
      <c r="E49" s="181" t="n">
        <v>0</v>
      </c>
      <c r="F49" s="184" t="n">
        <v>0</v>
      </c>
      <c r="G49" s="182" t="n">
        <v>0</v>
      </c>
      <c r="H49" s="182" t="n">
        <v>0</v>
      </c>
      <c r="I49" s="182" t="n">
        <v>0</v>
      </c>
      <c r="J49" s="182" t="n">
        <v>0</v>
      </c>
      <c r="K49" s="26">
        <f>REPT(CHAR(152),SUM($V49:$X49)+Y49+AE49)</f>
        <v/>
      </c>
      <c r="L49" s="13">
        <f>REPT(CHAR(152),SUM($V49:$X49)+Z49+AF49)</f>
        <v/>
      </c>
      <c r="M49" s="9">
        <f>REPT(CHAR(152),SUM($V49:$X49)+AA49+AG49)</f>
        <v/>
      </c>
      <c r="N49" s="9">
        <f>REPT(CHAR(152),SUM($V49:$X49)+AB49+AH49)</f>
        <v/>
      </c>
      <c r="O49" s="9">
        <f>REPT(CHAR(152),SUM($V49:$X49)+AC49+AI49)</f>
        <v/>
      </c>
      <c r="P49" s="25">
        <f>REPT(CHAR(152),SUM($V49:$X49)+AD49+AJ49)</f>
        <v/>
      </c>
      <c r="Q49" s="176">
        <f>VLOOKUP(B49,Quality!A$2:B$252,2,FALSE)</f>
        <v/>
      </c>
      <c r="R49" s="176">
        <f>VLOOKUP(B49,Size!A$2:B$299,2,FALSE)</f>
        <v/>
      </c>
      <c r="S49" s="176">
        <f>VLOOKUP(B49,Mom!A$2:B$68,2,FALSE)</f>
        <v/>
      </c>
      <c r="T49" s="177">
        <f t="array" ref="T49">MEDIAN(IF($A$14:$A$77=$A49,Q$14:Q$77))</f>
        <v/>
      </c>
      <c r="U49" s="177">
        <f t="array" ref="U49">MEDIAN(IF($A$14:$A$77=$A49,R$14:R$77))</f>
        <v/>
      </c>
      <c r="V49" s="178">
        <f>IF(Q49&gt;T49,1,0)</f>
        <v/>
      </c>
      <c r="W49" s="178">
        <f>IF(R49&gt;U49,1,0)</f>
        <v/>
      </c>
      <c r="X49" s="178">
        <f>IF(OR(AND(A49&lt;9,S49&gt;3),AND(A49&gt;8,S49&lt;4)),1,0)</f>
        <v/>
      </c>
      <c r="Y49" s="179">
        <f>'Slot calculations'!BD38</f>
        <v/>
      </c>
      <c r="Z49" s="179">
        <f>'Slot calculations'!BE38</f>
        <v/>
      </c>
      <c r="AA49" s="179">
        <f>'Slot calculations'!BF38</f>
        <v/>
      </c>
      <c r="AB49" s="179">
        <f>'Slot calculations'!BG38</f>
        <v/>
      </c>
      <c r="AC49" s="179">
        <f>'Slot calculations'!BH38</f>
        <v/>
      </c>
      <c r="AD49" s="179">
        <f>'Slot calculations'!BI38</f>
        <v/>
      </c>
      <c r="AE49" s="180">
        <f>'Slot calculations'!BJ38</f>
        <v/>
      </c>
      <c r="AF49" s="180">
        <f>'Slot calculations'!BK38</f>
        <v/>
      </c>
      <c r="AG49" s="180">
        <f>'Slot calculations'!BL38</f>
        <v/>
      </c>
      <c r="AH49" s="180">
        <f>'Slot calculations'!BM38</f>
        <v/>
      </c>
      <c r="AI49" s="180">
        <f>'Slot calculations'!BN38</f>
        <v/>
      </c>
      <c r="AJ49" s="180">
        <f>'Slot calculations'!BO38</f>
        <v/>
      </c>
    </row>
    <row r="50" ht="15.75" customHeight="1">
      <c r="A50" s="3" t="n">
        <v>5</v>
      </c>
      <c r="B50" s="133" t="inlineStr">
        <is>
          <t>Wisconsin</t>
        </is>
      </c>
      <c r="C50" s="60" t="n"/>
      <c r="D50" s="60" t="n"/>
      <c r="E50" s="183" t="n">
        <v>1</v>
      </c>
      <c r="F50" s="182" t="n">
        <v>1</v>
      </c>
      <c r="G50" s="182" t="n">
        <v>0</v>
      </c>
      <c r="H50" s="182" t="n">
        <v>0</v>
      </c>
      <c r="I50" s="182" t="n">
        <v>0</v>
      </c>
      <c r="J50" s="182" t="n">
        <v>0</v>
      </c>
      <c r="K50" s="24">
        <f>REPT(CHAR(152),SUM($V50:$X50)+Y50+AE50)</f>
        <v/>
      </c>
      <c r="L50" s="9">
        <f>REPT(CHAR(152),SUM($V50:$X50)+Z50+AF50)</f>
        <v/>
      </c>
      <c r="M50" s="9">
        <f>REPT(CHAR(152),SUM($V50:$X50)+AA50+AG50)</f>
        <v/>
      </c>
      <c r="N50" s="9">
        <f>REPT(CHAR(152),SUM($V50:$X50)+AB50+AH50)</f>
        <v/>
      </c>
      <c r="O50" s="9">
        <f>REPT(CHAR(152),SUM($V50:$X50)+AC50+AI50)</f>
        <v/>
      </c>
      <c r="P50" s="25">
        <f>REPT(CHAR(152),SUM($V50:$X50)+AD50+AJ50)</f>
        <v/>
      </c>
      <c r="Q50" s="176">
        <f>VLOOKUP(B50,Quality!A$2:B$252,2,FALSE)</f>
        <v/>
      </c>
      <c r="R50" s="176">
        <f>VLOOKUP(B50,Size!A$2:B$299,2,FALSE)</f>
        <v/>
      </c>
      <c r="S50" s="176">
        <f>VLOOKUP(B50,Mom!A$2:B$68,2,FALSE)</f>
        <v/>
      </c>
      <c r="T50" s="177">
        <f t="array" ref="T50">MEDIAN(IF($A$14:$A$77=$A50,Q$14:Q$77))</f>
        <v/>
      </c>
      <c r="U50" s="177">
        <f t="array" ref="U50">MEDIAN(IF($A$14:$A$77=$A50,R$14:R$77))</f>
        <v/>
      </c>
      <c r="V50" s="178">
        <f>IF(Q50&gt;T50,1,0)</f>
        <v/>
      </c>
      <c r="W50" s="178">
        <f>IF(R50&gt;U50,1,0)</f>
        <v/>
      </c>
      <c r="X50" s="178">
        <f>IF(OR(AND(A50&lt;9,S50&gt;3),AND(A50&gt;8,S50&lt;4)),1,0)</f>
        <v/>
      </c>
      <c r="Y50" s="179">
        <f>'Slot calculations'!BD39</f>
        <v/>
      </c>
      <c r="Z50" s="179">
        <f>'Slot calculations'!BE39</f>
        <v/>
      </c>
      <c r="AA50" s="179">
        <f>'Slot calculations'!BF39</f>
        <v/>
      </c>
      <c r="AB50" s="179">
        <f>'Slot calculations'!BG39</f>
        <v/>
      </c>
      <c r="AC50" s="179">
        <f>'Slot calculations'!BH39</f>
        <v/>
      </c>
      <c r="AD50" s="179">
        <f>'Slot calculations'!BI39</f>
        <v/>
      </c>
      <c r="AE50" s="180">
        <f>'Slot calculations'!BJ39</f>
        <v/>
      </c>
      <c r="AF50" s="180">
        <f>'Slot calculations'!BK39</f>
        <v/>
      </c>
      <c r="AG50" s="180">
        <f>'Slot calculations'!BL39</f>
        <v/>
      </c>
      <c r="AH50" s="180">
        <f>'Slot calculations'!BM39</f>
        <v/>
      </c>
      <c r="AI50" s="180">
        <f>'Slot calculations'!BN39</f>
        <v/>
      </c>
      <c r="AJ50" s="180">
        <f>'Slot calculations'!BO39</f>
        <v/>
      </c>
    </row>
    <row r="51" ht="16.5" customHeight="1" thickBot="1">
      <c r="A51" s="3" t="n">
        <v>12</v>
      </c>
      <c r="B51" s="133" t="inlineStr">
        <is>
          <t>Oregon</t>
        </is>
      </c>
      <c r="C51" s="60" t="n"/>
      <c r="D51" s="60" t="n"/>
      <c r="E51" s="181" t="n">
        <v>0</v>
      </c>
      <c r="F51" s="182" t="n">
        <v>0</v>
      </c>
      <c r="G51" s="182" t="n">
        <v>0</v>
      </c>
      <c r="H51" s="182" t="n">
        <v>0</v>
      </c>
      <c r="I51" s="182" t="n">
        <v>0</v>
      </c>
      <c r="J51" s="182" t="n">
        <v>0</v>
      </c>
      <c r="K51" s="26">
        <f>REPT(CHAR(152),SUM($V51:$X51)+Y51+AE51)</f>
        <v/>
      </c>
      <c r="L51" s="9">
        <f>REPT(CHAR(152),SUM($V51:$X51)+Z51+AF51)</f>
        <v/>
      </c>
      <c r="M51" s="9">
        <f>REPT(CHAR(152),SUM($V51:$X51)+AA51+AG51)</f>
        <v/>
      </c>
      <c r="N51" s="9">
        <f>REPT(CHAR(152),SUM($V51:$X51)+AB51+AH51)</f>
        <v/>
      </c>
      <c r="O51" s="9">
        <f>REPT(CHAR(152),SUM($V51:$X51)+AC51+AI51)</f>
        <v/>
      </c>
      <c r="P51" s="25">
        <f>REPT(CHAR(152),SUM($V51:$X51)+AD51+AJ51)</f>
        <v/>
      </c>
      <c r="Q51" s="176">
        <f>VLOOKUP(B51,Quality!A$2:B$252,2,FALSE)</f>
        <v/>
      </c>
      <c r="R51" s="176">
        <f>VLOOKUP(B51,Size!A$2:B$299,2,FALSE)</f>
        <v/>
      </c>
      <c r="S51" s="176">
        <f>VLOOKUP(B51,Mom!A$2:B$68,2,FALSE)</f>
        <v/>
      </c>
      <c r="T51" s="177">
        <f t="array" ref="T51">MEDIAN(IF($A$14:$A$77=$A51,Q$14:Q$77))</f>
        <v/>
      </c>
      <c r="U51" s="177">
        <f t="array" ref="U51">MEDIAN(IF($A$14:$A$77=$A51,R$14:R$77))</f>
        <v/>
      </c>
      <c r="V51" s="178">
        <f>IF(Q51&gt;T51,1,0)</f>
        <v/>
      </c>
      <c r="W51" s="178">
        <f>IF(R51&gt;U51,1,0)</f>
        <v/>
      </c>
      <c r="X51" s="178">
        <f>IF(OR(AND(A51&lt;9,S51&gt;3),AND(A51&gt;8,S51&lt;4)),1,0)</f>
        <v/>
      </c>
      <c r="Y51" s="179">
        <f>'Slot calculations'!BD40</f>
        <v/>
      </c>
      <c r="Z51" s="179">
        <f>'Slot calculations'!BE40</f>
        <v/>
      </c>
      <c r="AA51" s="179">
        <f>'Slot calculations'!BF40</f>
        <v/>
      </c>
      <c r="AB51" s="179">
        <f>'Slot calculations'!BG40</f>
        <v/>
      </c>
      <c r="AC51" s="179">
        <f>'Slot calculations'!BH40</f>
        <v/>
      </c>
      <c r="AD51" s="179">
        <f>'Slot calculations'!BI40</f>
        <v/>
      </c>
      <c r="AE51" s="180">
        <f>'Slot calculations'!BJ40</f>
        <v/>
      </c>
      <c r="AF51" s="180">
        <f>'Slot calculations'!BK40</f>
        <v/>
      </c>
      <c r="AG51" s="180">
        <f>'Slot calculations'!BL40</f>
        <v/>
      </c>
      <c r="AH51" s="180">
        <f>'Slot calculations'!BM40</f>
        <v/>
      </c>
      <c r="AI51" s="180">
        <f>'Slot calculations'!BN40</f>
        <v/>
      </c>
      <c r="AJ51" s="180">
        <f>'Slot calculations'!BO40</f>
        <v/>
      </c>
    </row>
    <row r="52" ht="15.75" customHeight="1">
      <c r="A52" s="3" t="n">
        <v>4</v>
      </c>
      <c r="B52" s="133" t="inlineStr">
        <is>
          <t>Kansas State</t>
        </is>
      </c>
      <c r="C52" s="60" t="n"/>
      <c r="D52" s="60" t="n"/>
      <c r="E52" s="183" t="n">
        <v>1</v>
      </c>
      <c r="F52" s="182" t="n">
        <v>0</v>
      </c>
      <c r="G52" s="182" t="n">
        <v>0</v>
      </c>
      <c r="H52" s="182" t="n">
        <v>0</v>
      </c>
      <c r="I52" s="182" t="n">
        <v>0</v>
      </c>
      <c r="J52" s="182" t="n">
        <v>0</v>
      </c>
      <c r="K52" s="24">
        <f>REPT(CHAR(152),SUM($V52:$X52)+Y52+AE52)</f>
        <v/>
      </c>
      <c r="L52" s="9">
        <f>REPT(CHAR(152),SUM($V52:$X52)+Z52+AF52)</f>
        <v/>
      </c>
      <c r="M52" s="9">
        <f>REPT(CHAR(152),SUM($V52:$X52)+AA52+AG52)</f>
        <v/>
      </c>
      <c r="N52" s="9">
        <f>REPT(CHAR(152),SUM($V52:$X52)+AB52+AH52)</f>
        <v/>
      </c>
      <c r="O52" s="9">
        <f>REPT(CHAR(152),SUM($V52:$X52)+AC52+AI52)</f>
        <v/>
      </c>
      <c r="P52" s="25">
        <f>REPT(CHAR(152),SUM($V52:$X52)+AD52+AJ52)</f>
        <v/>
      </c>
      <c r="Q52" s="176">
        <f>VLOOKUP(B52,Quality!A$2:B$252,2,FALSE)</f>
        <v/>
      </c>
      <c r="R52" s="176">
        <f>VLOOKUP(B52,Size!A$2:B$299,2,FALSE)</f>
        <v/>
      </c>
      <c r="S52" s="176">
        <f>VLOOKUP(B52,Mom!A$2:B$68,2,FALSE)</f>
        <v/>
      </c>
      <c r="T52" s="177">
        <f t="array" ref="T52">MEDIAN(IF($A$14:$A$77=$A52,Q$14:Q$77))</f>
        <v/>
      </c>
      <c r="U52" s="177">
        <f t="array" ref="U52">MEDIAN(IF($A$14:$A$77=$A52,R$14:R$77))</f>
        <v/>
      </c>
      <c r="V52" s="178">
        <f>IF(Q52&gt;T52,1,0)</f>
        <v/>
      </c>
      <c r="W52" s="178">
        <f>IF(R52&gt;U52,1,0)</f>
        <v/>
      </c>
      <c r="X52" s="178">
        <f>IF(OR(AND(A52&lt;9,S52&gt;3),AND(A52&gt;8,S52&lt;4)),1,0)</f>
        <v/>
      </c>
      <c r="Y52" s="179">
        <f>'Slot calculations'!BD41</f>
        <v/>
      </c>
      <c r="Z52" s="179">
        <f>'Slot calculations'!BE41</f>
        <v/>
      </c>
      <c r="AA52" s="179">
        <f>'Slot calculations'!BF41</f>
        <v/>
      </c>
      <c r="AB52" s="179">
        <f>'Slot calculations'!BG41</f>
        <v/>
      </c>
      <c r="AC52" s="179">
        <f>'Slot calculations'!BH41</f>
        <v/>
      </c>
      <c r="AD52" s="179">
        <f>'Slot calculations'!BI41</f>
        <v/>
      </c>
      <c r="AE52" s="180">
        <f>'Slot calculations'!BJ41</f>
        <v/>
      </c>
      <c r="AF52" s="180">
        <f>'Slot calculations'!BK41</f>
        <v/>
      </c>
      <c r="AG52" s="180">
        <f>'Slot calculations'!BL41</f>
        <v/>
      </c>
      <c r="AH52" s="180">
        <f>'Slot calculations'!BM41</f>
        <v/>
      </c>
      <c r="AI52" s="180">
        <f>'Slot calculations'!BN41</f>
        <v/>
      </c>
      <c r="AJ52" s="180">
        <f>'Slot calculations'!BO41</f>
        <v/>
      </c>
    </row>
    <row r="53" ht="16.5" customHeight="1" thickBot="1">
      <c r="A53" s="3" t="n">
        <v>13</v>
      </c>
      <c r="B53" s="133" t="inlineStr">
        <is>
          <t>UC Irvine</t>
        </is>
      </c>
      <c r="C53" s="60" t="n"/>
      <c r="D53" s="60" t="n"/>
      <c r="E53" s="181" t="n">
        <v>0</v>
      </c>
      <c r="F53" s="184" t="n">
        <v>0</v>
      </c>
      <c r="G53" s="184" t="n">
        <v>0</v>
      </c>
      <c r="H53" s="182" t="n">
        <v>0</v>
      </c>
      <c r="I53" s="182" t="n">
        <v>0</v>
      </c>
      <c r="J53" s="182" t="n">
        <v>0</v>
      </c>
      <c r="K53" s="26">
        <f>REPT(CHAR(152),SUM($V53:$X53)+Y53+AE53)</f>
        <v/>
      </c>
      <c r="L53" s="13">
        <f>REPT(CHAR(152),SUM($V53:$X53)+Z53+AF53)</f>
        <v/>
      </c>
      <c r="M53" s="13">
        <f>REPT(CHAR(152),SUM($V53:$X53)+AA53+AG53)</f>
        <v/>
      </c>
      <c r="N53" s="9">
        <f>REPT(CHAR(152),SUM($V53:$X53)+AB53+AH53)</f>
        <v/>
      </c>
      <c r="O53" s="9">
        <f>REPT(CHAR(152),SUM($V53:$X53)+AC53+AI53)</f>
        <v/>
      </c>
      <c r="P53" s="25">
        <f>REPT(CHAR(152),SUM($V53:$X53)+AD53+AJ53)</f>
        <v/>
      </c>
      <c r="Q53" s="176">
        <f>VLOOKUP(B53,Quality!A$2:B$252,2,FALSE)</f>
        <v/>
      </c>
      <c r="R53" s="176">
        <f>VLOOKUP(B53,Size!A$2:B$299,2,FALSE)</f>
        <v/>
      </c>
      <c r="S53" s="176">
        <f>VLOOKUP(B53,Mom!A$2:B$68,2,FALSE)</f>
        <v/>
      </c>
      <c r="T53" s="177">
        <f t="array" ref="T53">MEDIAN(IF($A$14:$A$77=$A53,Q$14:Q$77))</f>
        <v/>
      </c>
      <c r="U53" s="177">
        <f t="array" ref="U53">MEDIAN(IF($A$14:$A$77=$A53,R$14:R$77))</f>
        <v/>
      </c>
      <c r="V53" s="178">
        <f>IF(Q53&gt;T53,1,0)</f>
        <v/>
      </c>
      <c r="W53" s="178">
        <f>IF(R53&gt;U53,1,0)</f>
        <v/>
      </c>
      <c r="X53" s="178">
        <f>IF(OR(AND(A53&lt;9,S53&gt;3),AND(A53&gt;8,S53&lt;4)),1,0)</f>
        <v/>
      </c>
      <c r="Y53" s="179">
        <f>'Slot calculations'!BD42</f>
        <v/>
      </c>
      <c r="Z53" s="179">
        <f>'Slot calculations'!BE42</f>
        <v/>
      </c>
      <c r="AA53" s="179">
        <f>'Slot calculations'!BF42</f>
        <v/>
      </c>
      <c r="AB53" s="179">
        <f>'Slot calculations'!BG42</f>
        <v/>
      </c>
      <c r="AC53" s="179">
        <f>'Slot calculations'!BH42</f>
        <v/>
      </c>
      <c r="AD53" s="179">
        <f>'Slot calculations'!BI42</f>
        <v/>
      </c>
      <c r="AE53" s="180">
        <f>'Slot calculations'!BJ42</f>
        <v/>
      </c>
      <c r="AF53" s="180">
        <f>'Slot calculations'!BK42</f>
        <v/>
      </c>
      <c r="AG53" s="180">
        <f>'Slot calculations'!BL42</f>
        <v/>
      </c>
      <c r="AH53" s="180">
        <f>'Slot calculations'!BM42</f>
        <v/>
      </c>
      <c r="AI53" s="180">
        <f>'Slot calculations'!BN42</f>
        <v/>
      </c>
      <c r="AJ53" s="180">
        <f>'Slot calculations'!BO42</f>
        <v/>
      </c>
    </row>
    <row r="54" ht="15.75" customHeight="1">
      <c r="A54" s="3" t="n">
        <v>6</v>
      </c>
      <c r="B54" s="133" t="inlineStr">
        <is>
          <t>Villanova</t>
        </is>
      </c>
      <c r="C54" s="60" t="n"/>
      <c r="D54" s="60" t="n"/>
      <c r="E54" s="183" t="n">
        <v>1</v>
      </c>
      <c r="F54" s="182" t="n">
        <v>1</v>
      </c>
      <c r="G54" s="182" t="n">
        <v>1</v>
      </c>
      <c r="H54" s="182" t="n">
        <v>0</v>
      </c>
      <c r="I54" s="182" t="n">
        <v>0</v>
      </c>
      <c r="J54" s="182" t="n">
        <v>0</v>
      </c>
      <c r="K54" s="24">
        <f>REPT(CHAR(152),SUM($V54:$X54)+Y54+AE54)</f>
        <v/>
      </c>
      <c r="L54" s="9">
        <f>REPT(CHAR(152),SUM($V54:$X54)+Z54+AF54)</f>
        <v/>
      </c>
      <c r="M54" s="9">
        <f>REPT(CHAR(152),SUM($V54:$X54)+AA54+AG54)</f>
        <v/>
      </c>
      <c r="N54" s="9">
        <f>REPT(CHAR(152),SUM($V54:$X54)+AB54+AH54)</f>
        <v/>
      </c>
      <c r="O54" s="9">
        <f>REPT(CHAR(152),SUM($V54:$X54)+AC54+AI54)</f>
        <v/>
      </c>
      <c r="P54" s="25">
        <f>REPT(CHAR(152),SUM($V54:$X54)+AD54+AJ54)</f>
        <v/>
      </c>
      <c r="Q54" s="176">
        <f>VLOOKUP(B54,Quality!A$2:B$252,2,FALSE)</f>
        <v/>
      </c>
      <c r="R54" s="176">
        <f>VLOOKUP(B54,Size!A$2:B$299,2,FALSE)</f>
        <v/>
      </c>
      <c r="S54" s="176">
        <f>VLOOKUP(B54,Mom!A$2:B$68,2,FALSE)</f>
        <v/>
      </c>
      <c r="T54" s="177">
        <f t="array" ref="T54">MEDIAN(IF($A$14:$A$77=$A54,Q$14:Q$77))</f>
        <v/>
      </c>
      <c r="U54" s="177">
        <f t="array" ref="U54">MEDIAN(IF($A$14:$A$77=$A54,R$14:R$77))</f>
        <v/>
      </c>
      <c r="V54" s="178">
        <f>IF(Q54&gt;T54,1,0)</f>
        <v/>
      </c>
      <c r="W54" s="178">
        <f>IF(R54&gt;U54,1,0)</f>
        <v/>
      </c>
      <c r="X54" s="178">
        <f>IF(OR(AND(A54&lt;9,S54&gt;3),AND(A54&gt;8,S54&lt;4)),1,0)</f>
        <v/>
      </c>
      <c r="Y54" s="179">
        <f>'Slot calculations'!BD43</f>
        <v/>
      </c>
      <c r="Z54" s="179">
        <f>'Slot calculations'!BE43</f>
        <v/>
      </c>
      <c r="AA54" s="179">
        <f>'Slot calculations'!BF43</f>
        <v/>
      </c>
      <c r="AB54" s="179">
        <f>'Slot calculations'!BG43</f>
        <v/>
      </c>
      <c r="AC54" s="179">
        <f>'Slot calculations'!BH43</f>
        <v/>
      </c>
      <c r="AD54" s="179">
        <f>'Slot calculations'!BI43</f>
        <v/>
      </c>
      <c r="AE54" s="180">
        <f>'Slot calculations'!BJ43</f>
        <v/>
      </c>
      <c r="AF54" s="180">
        <f>'Slot calculations'!BK43</f>
        <v/>
      </c>
      <c r="AG54" s="180">
        <f>'Slot calculations'!BL43</f>
        <v/>
      </c>
      <c r="AH54" s="180">
        <f>'Slot calculations'!BM43</f>
        <v/>
      </c>
      <c r="AI54" s="180">
        <f>'Slot calculations'!BN43</f>
        <v/>
      </c>
      <c r="AJ54" s="180">
        <f>'Slot calculations'!BO43</f>
        <v/>
      </c>
    </row>
    <row r="55" ht="16.5" customHeight="1" thickBot="1">
      <c r="A55" s="3" t="n">
        <v>11</v>
      </c>
      <c r="B55" s="133" t="inlineStr">
        <is>
          <t>Saint Mary's</t>
        </is>
      </c>
      <c r="C55" s="60" t="n"/>
      <c r="D55" s="60" t="n"/>
      <c r="E55" s="181" t="n">
        <v>0</v>
      </c>
      <c r="F55" s="182" t="n">
        <v>0</v>
      </c>
      <c r="G55" s="182" t="n">
        <v>0</v>
      </c>
      <c r="H55" s="182" t="n">
        <v>0</v>
      </c>
      <c r="I55" s="182" t="n">
        <v>0</v>
      </c>
      <c r="J55" s="182" t="n">
        <v>0</v>
      </c>
      <c r="K55" s="26">
        <f>REPT(CHAR(152),SUM($V55:$X55)+Y55+AE55)</f>
        <v/>
      </c>
      <c r="L55" s="9">
        <f>REPT(CHAR(152),SUM($V55:$X55)+Z55+AF55)</f>
        <v/>
      </c>
      <c r="M55" s="9">
        <f>REPT(CHAR(152),SUM($V55:$X55)+AA55+AG55)</f>
        <v/>
      </c>
      <c r="N55" s="9">
        <f>REPT(CHAR(152),SUM($V55:$X55)+AB55+AH55)</f>
        <v/>
      </c>
      <c r="O55" s="9">
        <f>REPT(CHAR(152),SUM($V55:$X55)+AC55+AI55)</f>
        <v/>
      </c>
      <c r="P55" s="25">
        <f>REPT(CHAR(152),SUM($V55:$X55)+AD55+AJ55)</f>
        <v/>
      </c>
      <c r="Q55" s="176">
        <f>VLOOKUP(B55,Quality!A$2:B$252,2,FALSE)</f>
        <v/>
      </c>
      <c r="R55" s="176">
        <f>VLOOKUP(B55,Size!A$2:B$299,2,FALSE)</f>
        <v/>
      </c>
      <c r="S55" s="176">
        <f>VLOOKUP(B55,Mom!A$2:B$68,2,FALSE)</f>
        <v/>
      </c>
      <c r="T55" s="177">
        <f t="array" ref="T55">MEDIAN(IF($A$14:$A$77=$A55,Q$14:Q$77))</f>
        <v/>
      </c>
      <c r="U55" s="177">
        <f t="array" ref="U55">MEDIAN(IF($A$14:$A$77=$A55,R$14:R$77))</f>
        <v/>
      </c>
      <c r="V55" s="178">
        <f>IF(Q55&gt;T55,1,0)</f>
        <v/>
      </c>
      <c r="W55" s="178">
        <f>IF(R55&gt;U55,1,0)</f>
        <v/>
      </c>
      <c r="X55" s="178">
        <f>IF(OR(AND(A55&lt;9,S55&gt;3),AND(A55&gt;8,S55&lt;4)),1,0)</f>
        <v/>
      </c>
      <c r="Y55" s="179">
        <f>'Slot calculations'!BD44</f>
        <v/>
      </c>
      <c r="Z55" s="179">
        <f>'Slot calculations'!BE44</f>
        <v/>
      </c>
      <c r="AA55" s="179">
        <f>'Slot calculations'!BF44</f>
        <v/>
      </c>
      <c r="AB55" s="179">
        <f>'Slot calculations'!BG44</f>
        <v/>
      </c>
      <c r="AC55" s="179">
        <f>'Slot calculations'!BH44</f>
        <v/>
      </c>
      <c r="AD55" s="179">
        <f>'Slot calculations'!BI44</f>
        <v/>
      </c>
      <c r="AE55" s="180">
        <f>'Slot calculations'!BJ44</f>
        <v/>
      </c>
      <c r="AF55" s="180">
        <f>'Slot calculations'!BK44</f>
        <v/>
      </c>
      <c r="AG55" s="180">
        <f>'Slot calculations'!BL44</f>
        <v/>
      </c>
      <c r="AH55" s="180">
        <f>'Slot calculations'!BM44</f>
        <v/>
      </c>
      <c r="AI55" s="180">
        <f>'Slot calculations'!BN44</f>
        <v/>
      </c>
      <c r="AJ55" s="180">
        <f>'Slot calculations'!BO44</f>
        <v/>
      </c>
    </row>
    <row r="56" ht="15.75" customHeight="1">
      <c r="A56" s="3" t="n">
        <v>3</v>
      </c>
      <c r="B56" s="133" t="inlineStr">
        <is>
          <t>Purdue</t>
        </is>
      </c>
      <c r="C56" s="60" t="n"/>
      <c r="D56" s="60" t="n"/>
      <c r="E56" s="183" t="n">
        <v>1</v>
      </c>
      <c r="F56" s="182" t="n">
        <v>0</v>
      </c>
      <c r="G56" s="182" t="n">
        <v>0</v>
      </c>
      <c r="H56" s="182" t="n">
        <v>0</v>
      </c>
      <c r="I56" s="182" t="n">
        <v>0</v>
      </c>
      <c r="J56" s="182" t="n">
        <v>0</v>
      </c>
      <c r="K56" s="24">
        <f>REPT(CHAR(152),SUM($V56:$X56)+Y56+AE56)</f>
        <v/>
      </c>
      <c r="L56" s="9">
        <f>REPT(CHAR(152),SUM($V56:$X56)+Z56+AF56)</f>
        <v/>
      </c>
      <c r="M56" s="9">
        <f>REPT(CHAR(152),SUM($V56:$X56)+AA56+AG56)</f>
        <v/>
      </c>
      <c r="N56" s="9">
        <f>REPT(CHAR(152),SUM($V56:$X56)+AB56+AH56)</f>
        <v/>
      </c>
      <c r="O56" s="9">
        <f>REPT(CHAR(152),SUM($V56:$X56)+AC56+AI56)</f>
        <v/>
      </c>
      <c r="P56" s="25">
        <f>REPT(CHAR(152),SUM($V56:$X56)+AD56+AJ56)</f>
        <v/>
      </c>
      <c r="Q56" s="176">
        <f>VLOOKUP(B56,Quality!A$2:B$252,2,FALSE)</f>
        <v/>
      </c>
      <c r="R56" s="176">
        <f>VLOOKUP(B56,Size!A$2:B$299,2,FALSE)</f>
        <v/>
      </c>
      <c r="S56" s="176">
        <f>VLOOKUP(B56,Mom!A$2:B$68,2,FALSE)</f>
        <v/>
      </c>
      <c r="T56" s="177">
        <f t="array" ref="T56">MEDIAN(IF($A$14:$A$77=$A56,Q$14:Q$77))</f>
        <v/>
      </c>
      <c r="U56" s="177">
        <f t="array" ref="U56">MEDIAN(IF($A$14:$A$77=$A56,R$14:R$77))</f>
        <v/>
      </c>
      <c r="V56" s="178">
        <f>IF(Q56&gt;T56,1,0)</f>
        <v/>
      </c>
      <c r="W56" s="178">
        <f>IF(R56&gt;U56,1,0)</f>
        <v/>
      </c>
      <c r="X56" s="178">
        <f>IF(OR(AND(A56&lt;9,S56&gt;3),AND(A56&gt;8,S56&lt;4)),1,0)</f>
        <v/>
      </c>
      <c r="Y56" s="179">
        <f>'Slot calculations'!BD45</f>
        <v/>
      </c>
      <c r="Z56" s="179">
        <f>'Slot calculations'!BE45</f>
        <v/>
      </c>
      <c r="AA56" s="179">
        <f>'Slot calculations'!BF45</f>
        <v/>
      </c>
      <c r="AB56" s="179">
        <f>'Slot calculations'!BG45</f>
        <v/>
      </c>
      <c r="AC56" s="179">
        <f>'Slot calculations'!BH45</f>
        <v/>
      </c>
      <c r="AD56" s="179">
        <f>'Slot calculations'!BI45</f>
        <v/>
      </c>
      <c r="AE56" s="180">
        <f>'Slot calculations'!BJ45</f>
        <v/>
      </c>
      <c r="AF56" s="180">
        <f>'Slot calculations'!BK45</f>
        <v/>
      </c>
      <c r="AG56" s="180">
        <f>'Slot calculations'!BL45</f>
        <v/>
      </c>
      <c r="AH56" s="180">
        <f>'Slot calculations'!BM45</f>
        <v/>
      </c>
      <c r="AI56" s="180">
        <f>'Slot calculations'!BN45</f>
        <v/>
      </c>
      <c r="AJ56" s="180">
        <f>'Slot calculations'!BO45</f>
        <v/>
      </c>
    </row>
    <row r="57" ht="16.5" customHeight="1" thickBot="1">
      <c r="A57" s="3" t="n">
        <v>14</v>
      </c>
      <c r="B57" s="133" t="inlineStr">
        <is>
          <t>Old Dominion</t>
        </is>
      </c>
      <c r="C57" s="60" t="n"/>
      <c r="D57" s="60" t="n"/>
      <c r="E57" s="181" t="n">
        <v>0</v>
      </c>
      <c r="F57" s="184" t="n">
        <v>0</v>
      </c>
      <c r="G57" s="182" t="n">
        <v>0</v>
      </c>
      <c r="H57" s="182" t="n">
        <v>0</v>
      </c>
      <c r="I57" s="182" t="n">
        <v>0</v>
      </c>
      <c r="J57" s="182" t="n">
        <v>0</v>
      </c>
      <c r="K57" s="26">
        <f>REPT(CHAR(152),SUM($V57:$X57)+Y57+AE57)</f>
        <v/>
      </c>
      <c r="L57" s="13">
        <f>REPT(CHAR(152),SUM($V57:$X57)+Z57+AF57)</f>
        <v/>
      </c>
      <c r="M57" s="9">
        <f>REPT(CHAR(152),SUM($V57:$X57)+AA57+AG57)</f>
        <v/>
      </c>
      <c r="N57" s="9">
        <f>REPT(CHAR(152),SUM($V57:$X57)+AB57+AH57)</f>
        <v/>
      </c>
      <c r="O57" s="9">
        <f>REPT(CHAR(152),SUM($V57:$X57)+AC57+AI57)</f>
        <v/>
      </c>
      <c r="P57" s="25">
        <f>REPT(CHAR(152),SUM($V57:$X57)+AD57+AJ57)</f>
        <v/>
      </c>
      <c r="Q57" s="176">
        <f>VLOOKUP(B57,Quality!A$2:B$252,2,FALSE)</f>
        <v/>
      </c>
      <c r="R57" s="176">
        <f>VLOOKUP(B57,Size!A$2:B$299,2,FALSE)</f>
        <v/>
      </c>
      <c r="S57" s="176">
        <f>VLOOKUP(B57,Mom!A$2:B$68,2,FALSE)</f>
        <v/>
      </c>
      <c r="T57" s="177">
        <f t="array" ref="T57">MEDIAN(IF($A$14:$A$77=$A57,Q$14:Q$77))</f>
        <v/>
      </c>
      <c r="U57" s="177">
        <f t="array" ref="U57">MEDIAN(IF($A$14:$A$77=$A57,R$14:R$77))</f>
        <v/>
      </c>
      <c r="V57" s="178">
        <f>IF(Q57&gt;T57,1,0)</f>
        <v/>
      </c>
      <c r="W57" s="178">
        <f>IF(R57&gt;U57,1,0)</f>
        <v/>
      </c>
      <c r="X57" s="178">
        <f>IF(OR(AND(A57&lt;9,S57&gt;3),AND(A57&gt;8,S57&lt;4)),1,0)</f>
        <v/>
      </c>
      <c r="Y57" s="179">
        <f>'Slot calculations'!BD46</f>
        <v/>
      </c>
      <c r="Z57" s="179">
        <f>'Slot calculations'!BE46</f>
        <v/>
      </c>
      <c r="AA57" s="179">
        <f>'Slot calculations'!BF46</f>
        <v/>
      </c>
      <c r="AB57" s="179">
        <f>'Slot calculations'!BG46</f>
        <v/>
      </c>
      <c r="AC57" s="179">
        <f>'Slot calculations'!BH46</f>
        <v/>
      </c>
      <c r="AD57" s="179">
        <f>'Slot calculations'!BI46</f>
        <v/>
      </c>
      <c r="AE57" s="180">
        <f>'Slot calculations'!BJ46</f>
        <v/>
      </c>
      <c r="AF57" s="180">
        <f>'Slot calculations'!BK46</f>
        <v/>
      </c>
      <c r="AG57" s="180">
        <f>'Slot calculations'!BL46</f>
        <v/>
      </c>
      <c r="AH57" s="180">
        <f>'Slot calculations'!BM46</f>
        <v/>
      </c>
      <c r="AI57" s="180">
        <f>'Slot calculations'!BN46</f>
        <v/>
      </c>
      <c r="AJ57" s="180">
        <f>'Slot calculations'!BO46</f>
        <v/>
      </c>
    </row>
    <row r="58" ht="15.75" customHeight="1">
      <c r="A58" s="3" t="n">
        <v>7</v>
      </c>
      <c r="B58" s="133" t="inlineStr">
        <is>
          <t>Cincinnati</t>
        </is>
      </c>
      <c r="C58" s="60" t="n"/>
      <c r="D58" s="60" t="n"/>
      <c r="E58" s="183" t="n">
        <v>1</v>
      </c>
      <c r="F58" s="182" t="n">
        <v>1</v>
      </c>
      <c r="G58" s="182" t="n">
        <v>0</v>
      </c>
      <c r="H58" s="182" t="n">
        <v>0</v>
      </c>
      <c r="I58" s="182" t="n">
        <v>0</v>
      </c>
      <c r="J58" s="182" t="n">
        <v>0</v>
      </c>
      <c r="K58" s="24">
        <f>REPT(CHAR(152),SUM($V58:$X58)+Y58+AE58)</f>
        <v/>
      </c>
      <c r="L58" s="9">
        <f>REPT(CHAR(152),SUM($V58:$X58)+Z58+AF58)</f>
        <v/>
      </c>
      <c r="M58" s="9">
        <f>REPT(CHAR(152),SUM($V58:$X58)+AA58+AG58)</f>
        <v/>
      </c>
      <c r="N58" s="9">
        <f>REPT(CHAR(152),SUM($V58:$X58)+AB58+AH58)</f>
        <v/>
      </c>
      <c r="O58" s="9">
        <f>REPT(CHAR(152),SUM($V58:$X58)+AC58+AI58)</f>
        <v/>
      </c>
      <c r="P58" s="25">
        <f>REPT(CHAR(152),SUM($V58:$X58)+AD58+AJ58)</f>
        <v/>
      </c>
      <c r="Q58" s="176">
        <f>VLOOKUP(B58,Quality!A$2:B$252,2,FALSE)</f>
        <v/>
      </c>
      <c r="R58" s="176">
        <f>VLOOKUP(B58,Size!A$2:B$299,2,FALSE)</f>
        <v/>
      </c>
      <c r="S58" s="176">
        <f>VLOOKUP(B58,Mom!A$2:B$68,2,FALSE)</f>
        <v/>
      </c>
      <c r="T58" s="177">
        <f t="array" ref="T58">MEDIAN(IF($A$14:$A$77=$A58,Q$14:Q$77))</f>
        <v/>
      </c>
      <c r="U58" s="177">
        <f t="array" ref="U58">MEDIAN(IF($A$14:$A$77=$A58,R$14:R$77))</f>
        <v/>
      </c>
      <c r="V58" s="178">
        <f>IF(Q58&gt;T58,1,0)</f>
        <v/>
      </c>
      <c r="W58" s="178">
        <f>IF(R58&gt;U58,1,0)</f>
        <v/>
      </c>
      <c r="X58" s="178">
        <f>IF(OR(AND(A58&lt;9,S58&gt;3),AND(A58&gt;8,S58&lt;4)),1,0)</f>
        <v/>
      </c>
      <c r="Y58" s="179">
        <f>'Slot calculations'!BD47</f>
        <v/>
      </c>
      <c r="Z58" s="179">
        <f>'Slot calculations'!BE47</f>
        <v/>
      </c>
      <c r="AA58" s="179">
        <f>'Slot calculations'!BF47</f>
        <v/>
      </c>
      <c r="AB58" s="179">
        <f>'Slot calculations'!BG47</f>
        <v/>
      </c>
      <c r="AC58" s="179">
        <f>'Slot calculations'!BH47</f>
        <v/>
      </c>
      <c r="AD58" s="179">
        <f>'Slot calculations'!BI47</f>
        <v/>
      </c>
      <c r="AE58" s="180">
        <f>'Slot calculations'!BJ47</f>
        <v/>
      </c>
      <c r="AF58" s="180">
        <f>'Slot calculations'!BK47</f>
        <v/>
      </c>
      <c r="AG58" s="180">
        <f>'Slot calculations'!BL47</f>
        <v/>
      </c>
      <c r="AH58" s="180">
        <f>'Slot calculations'!BM47</f>
        <v/>
      </c>
      <c r="AI58" s="180">
        <f>'Slot calculations'!BN47</f>
        <v/>
      </c>
      <c r="AJ58" s="180">
        <f>'Slot calculations'!BO47</f>
        <v/>
      </c>
    </row>
    <row r="59" ht="16.5" customHeight="1" thickBot="1">
      <c r="A59" s="3" t="n">
        <v>10</v>
      </c>
      <c r="B59" s="133" t="inlineStr">
        <is>
          <t>Iowa</t>
        </is>
      </c>
      <c r="C59" s="60" t="n"/>
      <c r="D59" s="60" t="n"/>
      <c r="E59" s="181" t="n">
        <v>0</v>
      </c>
      <c r="F59" s="182" t="n">
        <v>0</v>
      </c>
      <c r="G59" s="182" t="n">
        <v>0</v>
      </c>
      <c r="H59" s="182" t="n">
        <v>0</v>
      </c>
      <c r="I59" s="182" t="n">
        <v>0</v>
      </c>
      <c r="J59" s="182" t="n">
        <v>0</v>
      </c>
      <c r="K59" s="26">
        <f>REPT(CHAR(152),SUM($V59:$X59)+Y59+AE59)</f>
        <v/>
      </c>
      <c r="L59" s="9">
        <f>REPT(CHAR(152),SUM($V59:$X59)+Z59+AF59)</f>
        <v/>
      </c>
      <c r="M59" s="9">
        <f>REPT(CHAR(152),SUM($V59:$X59)+AA59+AG59)</f>
        <v/>
      </c>
      <c r="N59" s="9">
        <f>REPT(CHAR(152),SUM($V59:$X59)+AB59+AH59)</f>
        <v/>
      </c>
      <c r="O59" s="9">
        <f>REPT(CHAR(152),SUM($V59:$X59)+AC59+AI59)</f>
        <v/>
      </c>
      <c r="P59" s="25">
        <f>REPT(CHAR(152),SUM($V59:$X59)+AD59+AJ59)</f>
        <v/>
      </c>
      <c r="Q59" s="176">
        <f>VLOOKUP(B59,Quality!A$2:B$252,2,FALSE)</f>
        <v/>
      </c>
      <c r="R59" s="176">
        <f>VLOOKUP(B59,Size!A$2:B$299,2,FALSE)</f>
        <v/>
      </c>
      <c r="S59" s="176">
        <f>VLOOKUP(B59,Mom!A$2:B$68,2,FALSE)</f>
        <v/>
      </c>
      <c r="T59" s="177">
        <f t="array" ref="T59">MEDIAN(IF($A$14:$A$77=$A59,Q$14:Q$77))</f>
        <v/>
      </c>
      <c r="U59" s="177">
        <f t="array" ref="U59">MEDIAN(IF($A$14:$A$77=$A59,R$14:R$77))</f>
        <v/>
      </c>
      <c r="V59" s="178">
        <f>IF(Q59&gt;T59,1,0)</f>
        <v/>
      </c>
      <c r="W59" s="178">
        <f>IF(R59&gt;U59,1,0)</f>
        <v/>
      </c>
      <c r="X59" s="178">
        <f>IF(OR(AND(A59&lt;9,S59&gt;3),AND(A59&gt;8,S59&lt;4)),1,0)</f>
        <v/>
      </c>
      <c r="Y59" s="179">
        <f>'Slot calculations'!BD48</f>
        <v/>
      </c>
      <c r="Z59" s="179">
        <f>'Slot calculations'!BE48</f>
        <v/>
      </c>
      <c r="AA59" s="179">
        <f>'Slot calculations'!BF48</f>
        <v/>
      </c>
      <c r="AB59" s="179">
        <f>'Slot calculations'!BG48</f>
        <v/>
      </c>
      <c r="AC59" s="179">
        <f>'Slot calculations'!BH48</f>
        <v/>
      </c>
      <c r="AD59" s="179">
        <f>'Slot calculations'!BI48</f>
        <v/>
      </c>
      <c r="AE59" s="180">
        <f>'Slot calculations'!BJ48</f>
        <v/>
      </c>
      <c r="AF59" s="180">
        <f>'Slot calculations'!BK48</f>
        <v/>
      </c>
      <c r="AG59" s="180">
        <f>'Slot calculations'!BL48</f>
        <v/>
      </c>
      <c r="AH59" s="180">
        <f>'Slot calculations'!BM48</f>
        <v/>
      </c>
      <c r="AI59" s="180">
        <f>'Slot calculations'!BN48</f>
        <v/>
      </c>
      <c r="AJ59" s="180">
        <f>'Slot calculations'!BO48</f>
        <v/>
      </c>
    </row>
    <row r="60" ht="15.75" customHeight="1">
      <c r="A60" s="3" t="n">
        <v>2</v>
      </c>
      <c r="B60" s="133" t="inlineStr">
        <is>
          <t>Tennessee</t>
        </is>
      </c>
      <c r="C60" s="60" t="n"/>
      <c r="D60" s="60" t="n"/>
      <c r="E60" s="183" t="n">
        <v>1</v>
      </c>
      <c r="F60" s="182" t="n">
        <v>0</v>
      </c>
      <c r="G60" s="182" t="n">
        <v>0</v>
      </c>
      <c r="H60" s="182" t="n">
        <v>0</v>
      </c>
      <c r="I60" s="182" t="n">
        <v>0</v>
      </c>
      <c r="J60" s="182" t="n">
        <v>0</v>
      </c>
      <c r="K60" s="24">
        <f>REPT(CHAR(152),SUM($V60:$X60)+Y60+AE60)</f>
        <v/>
      </c>
      <c r="L60" s="9">
        <f>REPT(CHAR(152),SUM($V60:$X60)+Z60+AF60)</f>
        <v/>
      </c>
      <c r="M60" s="9">
        <f>REPT(CHAR(152),SUM($V60:$X60)+AA60+AG60)</f>
        <v/>
      </c>
      <c r="N60" s="9">
        <f>REPT(CHAR(152),SUM($V60:$X60)+AB60+AH60)</f>
        <v/>
      </c>
      <c r="O60" s="9">
        <f>REPT(CHAR(152),SUM($V60:$X60)+AC60+AI60)</f>
        <v/>
      </c>
      <c r="P60" s="25">
        <f>REPT(CHAR(152),SUM($V60:$X60)+AD60+AJ60)</f>
        <v/>
      </c>
      <c r="Q60" s="176">
        <f>VLOOKUP(B60,Quality!A$2:B$252,2,FALSE)</f>
        <v/>
      </c>
      <c r="R60" s="176">
        <f>VLOOKUP(B60,Size!A$2:B$299,2,FALSE)</f>
        <v/>
      </c>
      <c r="S60" s="176">
        <f>VLOOKUP(B60,Mom!A$2:B$68,2,FALSE)</f>
        <v/>
      </c>
      <c r="T60" s="177">
        <f t="array" ref="T60">MEDIAN(IF($A$14:$A$77=$A60,Q$14:Q$77))</f>
        <v/>
      </c>
      <c r="U60" s="177">
        <f t="array" ref="U60">MEDIAN(IF($A$14:$A$77=$A60,R$14:R$77))</f>
        <v/>
      </c>
      <c r="V60" s="178">
        <f>IF(Q60&gt;T60,1,0)</f>
        <v/>
      </c>
      <c r="W60" s="178">
        <f>IF(R60&gt;U60,1,0)</f>
        <v/>
      </c>
      <c r="X60" s="178">
        <f>IF(OR(AND(A60&lt;9,S60&gt;3),AND(A60&gt;8,S60&lt;4)),1,0)</f>
        <v/>
      </c>
      <c r="Y60" s="179">
        <f>'Slot calculations'!BD49</f>
        <v/>
      </c>
      <c r="Z60" s="179">
        <f>'Slot calculations'!BE49</f>
        <v/>
      </c>
      <c r="AA60" s="179">
        <f>'Slot calculations'!BF49</f>
        <v/>
      </c>
      <c r="AB60" s="179">
        <f>'Slot calculations'!BG49</f>
        <v/>
      </c>
      <c r="AC60" s="179">
        <f>'Slot calculations'!BH49</f>
        <v/>
      </c>
      <c r="AD60" s="179">
        <f>'Slot calculations'!BI49</f>
        <v/>
      </c>
      <c r="AE60" s="180">
        <f>'Slot calculations'!BJ49</f>
        <v/>
      </c>
      <c r="AF60" s="180">
        <f>'Slot calculations'!BK49</f>
        <v/>
      </c>
      <c r="AG60" s="180">
        <f>'Slot calculations'!BL49</f>
        <v/>
      </c>
      <c r="AH60" s="180">
        <f>'Slot calculations'!BM49</f>
        <v/>
      </c>
      <c r="AI60" s="180">
        <f>'Slot calculations'!BN49</f>
        <v/>
      </c>
      <c r="AJ60" s="180">
        <f>'Slot calculations'!BO49</f>
        <v/>
      </c>
    </row>
    <row r="61" ht="16.5" customHeight="1" thickBot="1">
      <c r="A61" s="3" t="n">
        <v>15</v>
      </c>
      <c r="B61" s="133" t="inlineStr">
        <is>
          <t>Colgate</t>
        </is>
      </c>
      <c r="C61" s="60" t="n"/>
      <c r="D61" s="60" t="n"/>
      <c r="E61" s="181" t="n">
        <v>0</v>
      </c>
      <c r="F61" s="184" t="n">
        <v>0</v>
      </c>
      <c r="G61" s="184" t="n">
        <v>0</v>
      </c>
      <c r="H61" s="182" t="n">
        <v>0</v>
      </c>
      <c r="I61" s="182" t="n">
        <v>0</v>
      </c>
      <c r="J61" s="182" t="n">
        <v>0</v>
      </c>
      <c r="K61" s="26">
        <f>REPT(CHAR(152),SUM($V61:$X61)+Y61+AE61)</f>
        <v/>
      </c>
      <c r="L61" s="13">
        <f>REPT(CHAR(152),SUM($V61:$X61)+Z61+AF61)</f>
        <v/>
      </c>
      <c r="M61" s="13">
        <f>REPT(CHAR(152),SUM($V61:$X61)+AA61+AG61)</f>
        <v/>
      </c>
      <c r="N61" s="13">
        <f>REPT(CHAR(152),SUM($V61:$X61)+AB61+AH61)</f>
        <v/>
      </c>
      <c r="O61" s="9">
        <f>REPT(CHAR(152),SUM($V61:$X61)+AC61+AI61)</f>
        <v/>
      </c>
      <c r="P61" s="25">
        <f>REPT(CHAR(152),SUM($V61:$X61)+AD61+AJ61)</f>
        <v/>
      </c>
      <c r="Q61" s="176">
        <f>VLOOKUP(B61,Quality!A$2:B$252,2,FALSE)</f>
        <v/>
      </c>
      <c r="R61" s="176">
        <f>VLOOKUP(B61,Size!A$2:B$299,2,FALSE)</f>
        <v/>
      </c>
      <c r="S61" s="176">
        <f>VLOOKUP(B61,Mom!A$2:B$68,2,FALSE)</f>
        <v/>
      </c>
      <c r="T61" s="177">
        <f t="array" ref="T61">MEDIAN(IF($A$14:$A$77=$A61,Q$14:Q$77))</f>
        <v/>
      </c>
      <c r="U61" s="177">
        <f t="array" ref="U61">MEDIAN(IF($A$14:$A$77=$A61,R$14:R$77))</f>
        <v/>
      </c>
      <c r="V61" s="178">
        <f>IF(Q61&gt;T61,1,0)</f>
        <v/>
      </c>
      <c r="W61" s="178">
        <f>IF(R61&gt;U61,1,0)</f>
        <v/>
      </c>
      <c r="X61" s="178">
        <f>IF(OR(AND(A61&lt;9,S61&gt;3),AND(A61&gt;8,S61&lt;4)),1,0)</f>
        <v/>
      </c>
      <c r="Y61" s="179">
        <f>'Slot calculations'!BD50</f>
        <v/>
      </c>
      <c r="Z61" s="179">
        <f>'Slot calculations'!BE50</f>
        <v/>
      </c>
      <c r="AA61" s="179">
        <f>'Slot calculations'!BF50</f>
        <v/>
      </c>
      <c r="AB61" s="179">
        <f>'Slot calculations'!BG50</f>
        <v/>
      </c>
      <c r="AC61" s="179">
        <f>'Slot calculations'!BH50</f>
        <v/>
      </c>
      <c r="AD61" s="179">
        <f>'Slot calculations'!BI50</f>
        <v/>
      </c>
      <c r="AE61" s="180">
        <f>'Slot calculations'!BJ50</f>
        <v/>
      </c>
      <c r="AF61" s="180">
        <f>'Slot calculations'!BK50</f>
        <v/>
      </c>
      <c r="AG61" s="180">
        <f>'Slot calculations'!BL50</f>
        <v/>
      </c>
      <c r="AH61" s="180">
        <f>'Slot calculations'!BM50</f>
        <v/>
      </c>
      <c r="AI61" s="180">
        <f>'Slot calculations'!BN50</f>
        <v/>
      </c>
      <c r="AJ61" s="180">
        <f>'Slot calculations'!BO50</f>
        <v/>
      </c>
    </row>
    <row r="62" ht="15.75" customHeight="1">
      <c r="A62" s="3" t="n">
        <v>1</v>
      </c>
      <c r="B62" s="133" t="inlineStr">
        <is>
          <t>North Carolina</t>
        </is>
      </c>
      <c r="C62" s="60" t="n"/>
      <c r="D62" s="60" t="n"/>
      <c r="E62" s="173" t="n">
        <v>1</v>
      </c>
      <c r="F62" s="174" t="n">
        <v>1</v>
      </c>
      <c r="G62" s="174" t="n">
        <v>1</v>
      </c>
      <c r="H62" s="174" t="n">
        <v>1</v>
      </c>
      <c r="I62" s="182" t="n">
        <v>0</v>
      </c>
      <c r="J62" s="182" t="n">
        <v>0</v>
      </c>
      <c r="K62" s="27">
        <f>REPT(CHAR(152),SUM($V62:$X62)+Y62+AE62)</f>
        <v/>
      </c>
      <c r="L62" s="10">
        <f>REPT(CHAR(152),SUM($V62:$X62)+Z62+AF62)</f>
        <v/>
      </c>
      <c r="M62" s="10">
        <f>REPT(CHAR(152),SUM($V62:$X62)+AA62+AG62)</f>
        <v/>
      </c>
      <c r="N62" s="10">
        <f>REPT(CHAR(152),SUM($V62:$X62)+AB62+AH62)</f>
        <v/>
      </c>
      <c r="O62" s="10">
        <f>REPT(CHAR(152),SUM($V62:$X62)+AC62+AI62)</f>
        <v/>
      </c>
      <c r="P62" s="28">
        <f>REPT(CHAR(152),SUM($V62:$X62)+AD62+AJ62)</f>
        <v/>
      </c>
      <c r="Q62" s="176">
        <f>VLOOKUP(B62,Quality!A$2:B$252,2,FALSE)</f>
        <v/>
      </c>
      <c r="R62" s="176">
        <f>VLOOKUP(B62,Size!A$2:B$299,2,FALSE)</f>
        <v/>
      </c>
      <c r="S62" s="176">
        <f>VLOOKUP(B62,Mom!A$2:B$68,2,FALSE)</f>
        <v/>
      </c>
      <c r="T62" s="177">
        <f t="array" ref="T62">MEDIAN(IF($A$14:$A$77=$A62,Q$14:Q$77))</f>
        <v/>
      </c>
      <c r="U62" s="177">
        <f t="array" ref="U62">MEDIAN(IF($A$14:$A$77=$A62,R$14:R$77))</f>
        <v/>
      </c>
      <c r="V62" s="178">
        <f>IF(Q62&gt;T62,1,0)</f>
        <v/>
      </c>
      <c r="W62" s="178">
        <f>IF(R62&gt;U62,1,0)</f>
        <v/>
      </c>
      <c r="X62" s="178">
        <f>IF(OR(AND(A62&lt;9,S62&gt;3),AND(A62&gt;8,S62&lt;4)),1,0)</f>
        <v/>
      </c>
      <c r="Y62" s="179">
        <f>'Slot calculations'!BD51</f>
        <v/>
      </c>
      <c r="Z62" s="179">
        <f>'Slot calculations'!BE51</f>
        <v/>
      </c>
      <c r="AA62" s="179">
        <f>'Slot calculations'!BF51</f>
        <v/>
      </c>
      <c r="AB62" s="179">
        <f>'Slot calculations'!BG51</f>
        <v/>
      </c>
      <c r="AC62" s="179">
        <f>'Slot calculations'!BH51</f>
        <v/>
      </c>
      <c r="AD62" s="179">
        <f>'Slot calculations'!BI51</f>
        <v/>
      </c>
      <c r="AE62" s="180">
        <f>'Slot calculations'!BJ51</f>
        <v/>
      </c>
      <c r="AF62" s="180">
        <f>'Slot calculations'!BK51</f>
        <v/>
      </c>
      <c r="AG62" s="180">
        <f>'Slot calculations'!BL51</f>
        <v/>
      </c>
      <c r="AH62" s="180">
        <f>'Slot calculations'!BM51</f>
        <v/>
      </c>
      <c r="AI62" s="180">
        <f>'Slot calculations'!BN51</f>
        <v/>
      </c>
      <c r="AJ62" s="180">
        <f>'Slot calculations'!BO51</f>
        <v/>
      </c>
    </row>
    <row r="63" ht="16.5" customHeight="1" thickBot="1">
      <c r="A63" s="3" t="n">
        <v>16</v>
      </c>
      <c r="B63" s="133" t="inlineStr">
        <is>
          <t>Iona</t>
        </is>
      </c>
      <c r="C63" s="60" t="n"/>
      <c r="D63" s="60" t="n"/>
      <c r="E63" s="181" t="n">
        <v>0</v>
      </c>
      <c r="F63" s="182" t="n">
        <v>0</v>
      </c>
      <c r="G63" s="182" t="n">
        <v>0</v>
      </c>
      <c r="H63" s="182" t="n">
        <v>0</v>
      </c>
      <c r="I63" s="182" t="n">
        <v>0</v>
      </c>
      <c r="J63" s="182" t="n">
        <v>0</v>
      </c>
      <c r="K63" s="29">
        <f>REPT(CHAR(152),SUM($V63:$X63)+Y63+AE63)</f>
        <v/>
      </c>
      <c r="L63" s="10">
        <f>REPT(CHAR(152),SUM($V63:$X63)+Z63+AF63)</f>
        <v/>
      </c>
      <c r="M63" s="10">
        <f>REPT(CHAR(152),SUM($V63:$X63)+AA63+AG63)</f>
        <v/>
      </c>
      <c r="N63" s="10">
        <f>REPT(CHAR(152),SUM($V63:$X63)+AB63+AH63)</f>
        <v/>
      </c>
      <c r="O63" s="10">
        <f>REPT(CHAR(152),SUM($V63:$X63)+AC63+AI63)</f>
        <v/>
      </c>
      <c r="P63" s="28">
        <f>REPT(CHAR(152),SUM($V63:$X63)+AD63+AJ63)</f>
        <v/>
      </c>
      <c r="Q63" s="176">
        <f>VLOOKUP(B63,Quality!A$2:B$252,2,FALSE)</f>
        <v/>
      </c>
      <c r="R63" s="176">
        <f>VLOOKUP(B63,Size!A$2:B$299,2,FALSE)</f>
        <v/>
      </c>
      <c r="S63" s="176">
        <f>VLOOKUP(B63,Mom!A$2:B$68,2,FALSE)</f>
        <v/>
      </c>
      <c r="T63" s="177">
        <f t="array" ref="T63">MEDIAN(IF($A$14:$A$77=$A63,Q$14:Q$77))</f>
        <v/>
      </c>
      <c r="U63" s="177">
        <f t="array" ref="U63">MEDIAN(IF($A$14:$A$77=$A63,R$14:R$77))</f>
        <v/>
      </c>
      <c r="V63" s="178">
        <f>IF(Q63&gt;T63,1,0)</f>
        <v/>
      </c>
      <c r="W63" s="178">
        <f>IF(R63&gt;U63,1,0)</f>
        <v/>
      </c>
      <c r="X63" s="178">
        <f>IF(OR(AND(A63&lt;9,S63&gt;3),AND(A63&gt;8,S63&lt;4)),1,0)</f>
        <v/>
      </c>
      <c r="Y63" s="179">
        <f>'Slot calculations'!BD52</f>
        <v/>
      </c>
      <c r="Z63" s="179">
        <f>'Slot calculations'!BE52</f>
        <v/>
      </c>
      <c r="AA63" s="179">
        <f>'Slot calculations'!BF52</f>
        <v/>
      </c>
      <c r="AB63" s="179">
        <f>'Slot calculations'!BG52</f>
        <v/>
      </c>
      <c r="AC63" s="179">
        <f>'Slot calculations'!BH52</f>
        <v/>
      </c>
      <c r="AD63" s="179">
        <f>'Slot calculations'!BI52</f>
        <v/>
      </c>
      <c r="AE63" s="180">
        <f>'Slot calculations'!BJ52</f>
        <v/>
      </c>
      <c r="AF63" s="180">
        <f>'Slot calculations'!BK52</f>
        <v/>
      </c>
      <c r="AG63" s="180">
        <f>'Slot calculations'!BL52</f>
        <v/>
      </c>
      <c r="AH63" s="180">
        <f>'Slot calculations'!BM52</f>
        <v/>
      </c>
      <c r="AI63" s="180">
        <f>'Slot calculations'!BN52</f>
        <v/>
      </c>
      <c r="AJ63" s="180">
        <f>'Slot calculations'!BO52</f>
        <v/>
      </c>
    </row>
    <row r="64" ht="15.75" customHeight="1">
      <c r="A64" s="3" t="n">
        <v>8</v>
      </c>
      <c r="B64" s="133" t="inlineStr">
        <is>
          <t>Utah State</t>
        </is>
      </c>
      <c r="C64" s="60" t="n"/>
      <c r="D64" s="60" t="n"/>
      <c r="E64" s="183" t="n">
        <v>1</v>
      </c>
      <c r="F64" s="182" t="n">
        <v>0</v>
      </c>
      <c r="G64" s="182" t="n">
        <v>0</v>
      </c>
      <c r="H64" s="182" t="n">
        <v>0</v>
      </c>
      <c r="I64" s="182" t="n">
        <v>0</v>
      </c>
      <c r="J64" s="182" t="n">
        <v>0</v>
      </c>
      <c r="K64" s="27">
        <f>REPT(CHAR(152),SUM($V64:$X64)+Y64+AE64)</f>
        <v/>
      </c>
      <c r="L64" s="10">
        <f>REPT(CHAR(152),SUM($V64:$X64)+Z64+AF64)</f>
        <v/>
      </c>
      <c r="M64" s="10">
        <f>REPT(CHAR(152),SUM($V64:$X64)+AA64+AG64)</f>
        <v/>
      </c>
      <c r="N64" s="10">
        <f>REPT(CHAR(152),SUM($V64:$X64)+AB64+AH64)</f>
        <v/>
      </c>
      <c r="O64" s="10">
        <f>REPT(CHAR(152),SUM($V64:$X64)+AC64+AI64)</f>
        <v/>
      </c>
      <c r="P64" s="28">
        <f>REPT(CHAR(152),SUM($V64:$X64)+AD64+AJ64)</f>
        <v/>
      </c>
      <c r="Q64" s="176">
        <f>VLOOKUP(B64,Quality!A$2:B$252,2,FALSE)</f>
        <v/>
      </c>
      <c r="R64" s="176">
        <f>VLOOKUP(B64,Size!A$2:B$299,2,FALSE)</f>
        <v/>
      </c>
      <c r="S64" s="176">
        <f>VLOOKUP(B64,Mom!A$2:B$68,2,FALSE)</f>
        <v/>
      </c>
      <c r="T64" s="177">
        <f t="array" ref="T64">MEDIAN(IF($A$14:$A$77=$A64,Q$14:Q$77))</f>
        <v/>
      </c>
      <c r="U64" s="177">
        <f t="array" ref="U64">MEDIAN(IF($A$14:$A$77=$A64,R$14:R$77))</f>
        <v/>
      </c>
      <c r="V64" s="178">
        <f>IF(Q64&gt;T64,1,0)</f>
        <v/>
      </c>
      <c r="W64" s="178">
        <f>IF(R64&gt;U64,1,0)</f>
        <v/>
      </c>
      <c r="X64" s="178">
        <f>IF(OR(AND(A64&lt;9,S64&gt;3),AND(A64&gt;8,S64&lt;4)),1,0)</f>
        <v/>
      </c>
      <c r="Y64" s="179">
        <f>'Slot calculations'!BD53</f>
        <v/>
      </c>
      <c r="Z64" s="179">
        <f>'Slot calculations'!BE53</f>
        <v/>
      </c>
      <c r="AA64" s="179">
        <f>'Slot calculations'!BF53</f>
        <v/>
      </c>
      <c r="AB64" s="179">
        <f>'Slot calculations'!BG53</f>
        <v/>
      </c>
      <c r="AC64" s="179">
        <f>'Slot calculations'!BH53</f>
        <v/>
      </c>
      <c r="AD64" s="179">
        <f>'Slot calculations'!BI53</f>
        <v/>
      </c>
      <c r="AE64" s="180">
        <f>'Slot calculations'!BJ53</f>
        <v/>
      </c>
      <c r="AF64" s="180">
        <f>'Slot calculations'!BK53</f>
        <v/>
      </c>
      <c r="AG64" s="180">
        <f>'Slot calculations'!BL53</f>
        <v/>
      </c>
      <c r="AH64" s="180">
        <f>'Slot calculations'!BM53</f>
        <v/>
      </c>
      <c r="AI64" s="180">
        <f>'Slot calculations'!BN53</f>
        <v/>
      </c>
      <c r="AJ64" s="180">
        <f>'Slot calculations'!BO53</f>
        <v/>
      </c>
    </row>
    <row r="65" ht="16.5" customHeight="1" thickBot="1">
      <c r="A65" s="3" t="n">
        <v>9</v>
      </c>
      <c r="B65" s="133" t="inlineStr">
        <is>
          <t>Washington</t>
        </is>
      </c>
      <c r="C65" s="60" t="n"/>
      <c r="D65" s="60" t="n"/>
      <c r="E65" s="181" t="n">
        <v>0</v>
      </c>
      <c r="F65" s="184" t="n">
        <v>0</v>
      </c>
      <c r="G65" s="182" t="n">
        <v>0</v>
      </c>
      <c r="H65" s="182" t="n">
        <v>0</v>
      </c>
      <c r="I65" s="182" t="n">
        <v>0</v>
      </c>
      <c r="J65" s="182" t="n">
        <v>0</v>
      </c>
      <c r="K65" s="29">
        <f>REPT(CHAR(152),SUM($V65:$X65)+Y65+AE65)</f>
        <v/>
      </c>
      <c r="L65" s="14">
        <f>REPT(CHAR(152),SUM($V65:$X65)+Z65+AF65)</f>
        <v/>
      </c>
      <c r="M65" s="10">
        <f>REPT(CHAR(152),SUM($V65:$X65)+AA65+AG65)</f>
        <v/>
      </c>
      <c r="N65" s="10">
        <f>REPT(CHAR(152),SUM($V65:$X65)+AB65+AH65)</f>
        <v/>
      </c>
      <c r="O65" s="10">
        <f>REPT(CHAR(152),SUM($V65:$X65)+AC65+AI65)</f>
        <v/>
      </c>
      <c r="P65" s="28">
        <f>REPT(CHAR(152),SUM($V65:$X65)+AD65+AJ65)</f>
        <v/>
      </c>
      <c r="Q65" s="176">
        <f>VLOOKUP(B65,Quality!A$2:B$252,2,FALSE)</f>
        <v/>
      </c>
      <c r="R65" s="176">
        <f>VLOOKUP(B65,Size!A$2:B$299,2,FALSE)</f>
        <v/>
      </c>
      <c r="S65" s="176">
        <f>VLOOKUP(B65,Mom!A$2:B$68,2,FALSE)</f>
        <v/>
      </c>
      <c r="T65" s="177">
        <f t="array" ref="T65">MEDIAN(IF($A$14:$A$77=$A65,Q$14:Q$77))</f>
        <v/>
      </c>
      <c r="U65" s="177">
        <f t="array" ref="U65">MEDIAN(IF($A$14:$A$77=$A65,R$14:R$77))</f>
        <v/>
      </c>
      <c r="V65" s="178">
        <f>IF(Q65&gt;T65,1,0)</f>
        <v/>
      </c>
      <c r="W65" s="178">
        <f>IF(R65&gt;U65,1,0)</f>
        <v/>
      </c>
      <c r="X65" s="178">
        <f>IF(OR(AND(A65&lt;9,S65&gt;3),AND(A65&gt;8,S65&lt;4)),1,0)</f>
        <v/>
      </c>
      <c r="Y65" s="179">
        <f>'Slot calculations'!BD54</f>
        <v/>
      </c>
      <c r="Z65" s="179">
        <f>'Slot calculations'!BE54</f>
        <v/>
      </c>
      <c r="AA65" s="179">
        <f>'Slot calculations'!BF54</f>
        <v/>
      </c>
      <c r="AB65" s="179">
        <f>'Slot calculations'!BG54</f>
        <v/>
      </c>
      <c r="AC65" s="179">
        <f>'Slot calculations'!BH54</f>
        <v/>
      </c>
      <c r="AD65" s="179">
        <f>'Slot calculations'!BI54</f>
        <v/>
      </c>
      <c r="AE65" s="180">
        <f>'Slot calculations'!BJ54</f>
        <v/>
      </c>
      <c r="AF65" s="180">
        <f>'Slot calculations'!BK54</f>
        <v/>
      </c>
      <c r="AG65" s="180">
        <f>'Slot calculations'!BL54</f>
        <v/>
      </c>
      <c r="AH65" s="180">
        <f>'Slot calculations'!BM54</f>
        <v/>
      </c>
      <c r="AI65" s="180">
        <f>'Slot calculations'!BN54</f>
        <v/>
      </c>
      <c r="AJ65" s="180">
        <f>'Slot calculations'!BO54</f>
        <v/>
      </c>
    </row>
    <row r="66" ht="15.75" customHeight="1">
      <c r="A66" s="3" t="n">
        <v>5</v>
      </c>
      <c r="B66" s="133" t="inlineStr">
        <is>
          <t>Auburn</t>
        </is>
      </c>
      <c r="C66" s="60" t="n"/>
      <c r="D66" s="60" t="n"/>
      <c r="E66" s="183" t="n">
        <v>1</v>
      </c>
      <c r="F66" s="182" t="n">
        <v>1</v>
      </c>
      <c r="G66" s="182" t="n">
        <v>0</v>
      </c>
      <c r="H66" s="182" t="n">
        <v>0</v>
      </c>
      <c r="I66" s="182" t="n">
        <v>0</v>
      </c>
      <c r="J66" s="182" t="n">
        <v>0</v>
      </c>
      <c r="K66" s="27">
        <f>REPT(CHAR(152),SUM($V66:$X66)+Y66+AE66)</f>
        <v/>
      </c>
      <c r="L66" s="10">
        <f>REPT(CHAR(152),SUM($V66:$X66)+Z66+AF66)</f>
        <v/>
      </c>
      <c r="M66" s="10">
        <f>REPT(CHAR(152),SUM($V66:$X66)+AA66+AG66)</f>
        <v/>
      </c>
      <c r="N66" s="10">
        <f>REPT(CHAR(152),SUM($V66:$X66)+AB66+AH66)</f>
        <v/>
      </c>
      <c r="O66" s="10">
        <f>REPT(CHAR(152),SUM($V66:$X66)+AC66+AI66)</f>
        <v/>
      </c>
      <c r="P66" s="28">
        <f>REPT(CHAR(152),SUM($V66:$X66)+AD66+AJ66)</f>
        <v/>
      </c>
      <c r="Q66" s="176">
        <f>VLOOKUP(B66,Quality!A$2:B$252,2,FALSE)</f>
        <v/>
      </c>
      <c r="R66" s="176">
        <f>VLOOKUP(B66,Size!A$2:B$299,2,FALSE)</f>
        <v/>
      </c>
      <c r="S66" s="176">
        <f>VLOOKUP(B66,Mom!A$2:B$68,2,FALSE)</f>
        <v/>
      </c>
      <c r="T66" s="177">
        <f t="array" ref="T66">MEDIAN(IF($A$14:$A$77=$A66,Q$14:Q$77))</f>
        <v/>
      </c>
      <c r="U66" s="177">
        <f t="array" ref="U66">MEDIAN(IF($A$14:$A$77=$A66,R$14:R$77))</f>
        <v/>
      </c>
      <c r="V66" s="178">
        <f>IF(Q66&gt;T66,1,0)</f>
        <v/>
      </c>
      <c r="W66" s="178">
        <f>IF(R66&gt;U66,1,0)</f>
        <v/>
      </c>
      <c r="X66" s="178">
        <f>IF(OR(AND(A66&lt;9,S66&gt;3),AND(A66&gt;8,S66&lt;4)),1,0)</f>
        <v/>
      </c>
      <c r="Y66" s="179">
        <f>'Slot calculations'!BD55</f>
        <v/>
      </c>
      <c r="Z66" s="179">
        <f>'Slot calculations'!BE55</f>
        <v/>
      </c>
      <c r="AA66" s="179">
        <f>'Slot calculations'!BF55</f>
        <v/>
      </c>
      <c r="AB66" s="179">
        <f>'Slot calculations'!BG55</f>
        <v/>
      </c>
      <c r="AC66" s="179">
        <f>'Slot calculations'!BH55</f>
        <v/>
      </c>
      <c r="AD66" s="179">
        <f>'Slot calculations'!BI55</f>
        <v/>
      </c>
      <c r="AE66" s="180">
        <f>'Slot calculations'!BJ55</f>
        <v/>
      </c>
      <c r="AF66" s="180">
        <f>'Slot calculations'!BK55</f>
        <v/>
      </c>
      <c r="AG66" s="180">
        <f>'Slot calculations'!BL55</f>
        <v/>
      </c>
      <c r="AH66" s="180">
        <f>'Slot calculations'!BM55</f>
        <v/>
      </c>
      <c r="AI66" s="180">
        <f>'Slot calculations'!BN55</f>
        <v/>
      </c>
      <c r="AJ66" s="180">
        <f>'Slot calculations'!BO55</f>
        <v/>
      </c>
    </row>
    <row r="67" ht="16.5" customHeight="1" thickBot="1">
      <c r="A67" s="3" t="n">
        <v>12</v>
      </c>
      <c r="B67" s="133" t="inlineStr">
        <is>
          <t>New Mexico State</t>
        </is>
      </c>
      <c r="C67" s="60" t="n"/>
      <c r="D67" s="60" t="n"/>
      <c r="E67" s="181" t="n">
        <v>0</v>
      </c>
      <c r="F67" s="182" t="n">
        <v>0</v>
      </c>
      <c r="G67" s="182" t="n">
        <v>0</v>
      </c>
      <c r="H67" s="182" t="n">
        <v>0</v>
      </c>
      <c r="I67" s="182" t="n">
        <v>0</v>
      </c>
      <c r="J67" s="182" t="n">
        <v>0</v>
      </c>
      <c r="K67" s="29">
        <f>REPT(CHAR(152),SUM($V67:$X67)+Y67+AE67)</f>
        <v/>
      </c>
      <c r="L67" s="10">
        <f>REPT(CHAR(152),SUM($V67:$X67)+Z67+AF67)</f>
        <v/>
      </c>
      <c r="M67" s="10">
        <f>REPT(CHAR(152),SUM($V67:$X67)+AA67+AG67)</f>
        <v/>
      </c>
      <c r="N67" s="10">
        <f>REPT(CHAR(152),SUM($V67:$X67)+AB67+AH67)</f>
        <v/>
      </c>
      <c r="O67" s="10">
        <f>REPT(CHAR(152),SUM($V67:$X67)+AC67+AI67)</f>
        <v/>
      </c>
      <c r="P67" s="28">
        <f>REPT(CHAR(152),SUM($V67:$X67)+AD67+AJ67)</f>
        <v/>
      </c>
      <c r="Q67" s="176">
        <f>VLOOKUP(B67,Quality!A$2:B$252,2,FALSE)</f>
        <v/>
      </c>
      <c r="R67" s="176">
        <f>VLOOKUP(B67,Size!A$2:B$299,2,FALSE)</f>
        <v/>
      </c>
      <c r="S67" s="176">
        <f>VLOOKUP(B67,Mom!A$2:B$68,2,FALSE)</f>
        <v/>
      </c>
      <c r="T67" s="177">
        <f t="array" ref="T67">MEDIAN(IF($A$14:$A$77=$A67,Q$14:Q$77))</f>
        <v/>
      </c>
      <c r="U67" s="177">
        <f t="array" ref="U67">MEDIAN(IF($A$14:$A$77=$A67,R$14:R$77))</f>
        <v/>
      </c>
      <c r="V67" s="178">
        <f>IF(Q67&gt;T67,1,0)</f>
        <v/>
      </c>
      <c r="W67" s="178">
        <f>IF(R67&gt;U67,1,0)</f>
        <v/>
      </c>
      <c r="X67" s="178">
        <f>IF(OR(AND(A67&lt;9,S67&gt;3),AND(A67&gt;8,S67&lt;4)),1,0)</f>
        <v/>
      </c>
      <c r="Y67" s="179">
        <f>'Slot calculations'!BD56</f>
        <v/>
      </c>
      <c r="Z67" s="179">
        <f>'Slot calculations'!BE56</f>
        <v/>
      </c>
      <c r="AA67" s="179">
        <f>'Slot calculations'!BF56</f>
        <v/>
      </c>
      <c r="AB67" s="179">
        <f>'Slot calculations'!BG56</f>
        <v/>
      </c>
      <c r="AC67" s="179">
        <f>'Slot calculations'!BH56</f>
        <v/>
      </c>
      <c r="AD67" s="179">
        <f>'Slot calculations'!BI56</f>
        <v/>
      </c>
      <c r="AE67" s="180">
        <f>'Slot calculations'!BJ56</f>
        <v/>
      </c>
      <c r="AF67" s="180">
        <f>'Slot calculations'!BK56</f>
        <v/>
      </c>
      <c r="AG67" s="180">
        <f>'Slot calculations'!BL56</f>
        <v/>
      </c>
      <c r="AH67" s="180">
        <f>'Slot calculations'!BM56</f>
        <v/>
      </c>
      <c r="AI67" s="180">
        <f>'Slot calculations'!BN56</f>
        <v/>
      </c>
      <c r="AJ67" s="180">
        <f>'Slot calculations'!BO56</f>
        <v/>
      </c>
    </row>
    <row r="68" ht="15.75" customHeight="1">
      <c r="A68" s="3" t="n">
        <v>4</v>
      </c>
      <c r="B68" s="133" t="inlineStr">
        <is>
          <t>Kansas</t>
        </is>
      </c>
      <c r="C68" s="60" t="n"/>
      <c r="D68" s="60" t="n"/>
      <c r="E68" s="183" t="n">
        <v>1</v>
      </c>
      <c r="F68" s="182" t="n">
        <v>0</v>
      </c>
      <c r="G68" s="182" t="n">
        <v>0</v>
      </c>
      <c r="H68" s="182" t="n">
        <v>0</v>
      </c>
      <c r="I68" s="182" t="n">
        <v>0</v>
      </c>
      <c r="J68" s="182" t="n">
        <v>0</v>
      </c>
      <c r="K68" s="27">
        <f>REPT(CHAR(152),SUM($V68:$X68)+Y68+AE68)</f>
        <v/>
      </c>
      <c r="L68" s="10">
        <f>REPT(CHAR(152),SUM($V68:$X68)+Z68+AF68)</f>
        <v/>
      </c>
      <c r="M68" s="10">
        <f>REPT(CHAR(152),SUM($V68:$X68)+AA68+AG68)</f>
        <v/>
      </c>
      <c r="N68" s="10">
        <f>REPT(CHAR(152),SUM($V68:$X68)+AB68+AH68)</f>
        <v/>
      </c>
      <c r="O68" s="10">
        <f>REPT(CHAR(152),SUM($V68:$X68)+AC68+AI68)</f>
        <v/>
      </c>
      <c r="P68" s="28">
        <f>REPT(CHAR(152),SUM($V68:$X68)+AD68+AJ68)</f>
        <v/>
      </c>
      <c r="Q68" s="176">
        <f>VLOOKUP(B68,Quality!A$2:B$252,2,FALSE)</f>
        <v/>
      </c>
      <c r="R68" s="176">
        <f>VLOOKUP(B68,Size!A$2:B$299,2,FALSE)</f>
        <v/>
      </c>
      <c r="S68" s="176">
        <f>VLOOKUP(B68,Mom!A$2:B$68,2,FALSE)</f>
        <v/>
      </c>
      <c r="T68" s="177">
        <f t="array" ref="T68">MEDIAN(IF($A$14:$A$77=$A68,Q$14:Q$77))</f>
        <v/>
      </c>
      <c r="U68" s="177">
        <f t="array" ref="U68">MEDIAN(IF($A$14:$A$77=$A68,R$14:R$77))</f>
        <v/>
      </c>
      <c r="V68" s="178">
        <f>IF(Q68&gt;T68,1,0)</f>
        <v/>
      </c>
      <c r="W68" s="178">
        <f>IF(R68&gt;U68,1,0)</f>
        <v/>
      </c>
      <c r="X68" s="178">
        <f>IF(OR(AND(A68&lt;9,S68&gt;3),AND(A68&gt;8,S68&lt;4)),1,0)</f>
        <v/>
      </c>
      <c r="Y68" s="179">
        <f>'Slot calculations'!BD57</f>
        <v/>
      </c>
      <c r="Z68" s="179">
        <f>'Slot calculations'!BE57</f>
        <v/>
      </c>
      <c r="AA68" s="179">
        <f>'Slot calculations'!BF57</f>
        <v/>
      </c>
      <c r="AB68" s="179">
        <f>'Slot calculations'!BG57</f>
        <v/>
      </c>
      <c r="AC68" s="179">
        <f>'Slot calculations'!BH57</f>
        <v/>
      </c>
      <c r="AD68" s="179">
        <f>'Slot calculations'!BI57</f>
        <v/>
      </c>
      <c r="AE68" s="180">
        <f>'Slot calculations'!BJ57</f>
        <v/>
      </c>
      <c r="AF68" s="180">
        <f>'Slot calculations'!BK57</f>
        <v/>
      </c>
      <c r="AG68" s="180">
        <f>'Slot calculations'!BL57</f>
        <v/>
      </c>
      <c r="AH68" s="180">
        <f>'Slot calculations'!BM57</f>
        <v/>
      </c>
      <c r="AI68" s="180">
        <f>'Slot calculations'!BN57</f>
        <v/>
      </c>
      <c r="AJ68" s="180">
        <f>'Slot calculations'!BO57</f>
        <v/>
      </c>
    </row>
    <row r="69" ht="16.5" customHeight="1" thickBot="1">
      <c r="A69" s="3" t="n">
        <v>13</v>
      </c>
      <c r="B69" s="133" t="inlineStr">
        <is>
          <t>Northeastern</t>
        </is>
      </c>
      <c r="C69" s="60" t="n"/>
      <c r="D69" s="60" t="n"/>
      <c r="E69" s="181" t="n">
        <v>0</v>
      </c>
      <c r="F69" s="184" t="n">
        <v>0</v>
      </c>
      <c r="G69" s="184" t="n">
        <v>0</v>
      </c>
      <c r="H69" s="182" t="n">
        <v>0</v>
      </c>
      <c r="I69" s="182" t="n">
        <v>0</v>
      </c>
      <c r="J69" s="182" t="n">
        <v>0</v>
      </c>
      <c r="K69" s="29">
        <f>REPT(CHAR(152),SUM($V69:$X69)+Y69+AE69)</f>
        <v/>
      </c>
      <c r="L69" s="14">
        <f>REPT(CHAR(152),SUM($V69:$X69)+Z69+AF69)</f>
        <v/>
      </c>
      <c r="M69" s="14">
        <f>REPT(CHAR(152),SUM($V69:$X69)+AA69+AG69)</f>
        <v/>
      </c>
      <c r="N69" s="10">
        <f>REPT(CHAR(152),SUM($V69:$X69)+AB69+AH69)</f>
        <v/>
      </c>
      <c r="O69" s="10">
        <f>REPT(CHAR(152),SUM($V69:$X69)+AC69+AI69)</f>
        <v/>
      </c>
      <c r="P69" s="28">
        <f>REPT(CHAR(152),SUM($V69:$X69)+AD69+AJ69)</f>
        <v/>
      </c>
      <c r="Q69" s="176">
        <f>VLOOKUP(B69,Quality!A$2:B$252,2,FALSE)</f>
        <v/>
      </c>
      <c r="R69" s="176">
        <f>VLOOKUP(B69,Size!A$2:B$299,2,FALSE)</f>
        <v/>
      </c>
      <c r="S69" s="176">
        <f>VLOOKUP(B69,Mom!A$2:B$68,2,FALSE)</f>
        <v/>
      </c>
      <c r="T69" s="177">
        <f t="array" ref="T69">MEDIAN(IF($A$14:$A$77=$A69,Q$14:Q$77))</f>
        <v/>
      </c>
      <c r="U69" s="177">
        <f t="array" ref="U69">MEDIAN(IF($A$14:$A$77=$A69,R$14:R$77))</f>
        <v/>
      </c>
      <c r="V69" s="178">
        <f>IF(Q69&gt;T69,1,0)</f>
        <v/>
      </c>
      <c r="W69" s="178">
        <f>IF(R69&gt;U69,1,0)</f>
        <v/>
      </c>
      <c r="X69" s="178">
        <f>IF(OR(AND(A69&lt;9,S69&gt;3),AND(A69&gt;8,S69&lt;4)),1,0)</f>
        <v/>
      </c>
      <c r="Y69" s="179">
        <f>'Slot calculations'!BD58</f>
        <v/>
      </c>
      <c r="Z69" s="179">
        <f>'Slot calculations'!BE58</f>
        <v/>
      </c>
      <c r="AA69" s="179">
        <f>'Slot calculations'!BF58</f>
        <v/>
      </c>
      <c r="AB69" s="179">
        <f>'Slot calculations'!BG58</f>
        <v/>
      </c>
      <c r="AC69" s="179">
        <f>'Slot calculations'!BH58</f>
        <v/>
      </c>
      <c r="AD69" s="179">
        <f>'Slot calculations'!BI58</f>
        <v/>
      </c>
      <c r="AE69" s="180">
        <f>'Slot calculations'!BJ58</f>
        <v/>
      </c>
      <c r="AF69" s="180">
        <f>'Slot calculations'!BK58</f>
        <v/>
      </c>
      <c r="AG69" s="180">
        <f>'Slot calculations'!BL58</f>
        <v/>
      </c>
      <c r="AH69" s="180">
        <f>'Slot calculations'!BM58</f>
        <v/>
      </c>
      <c r="AI69" s="180">
        <f>'Slot calculations'!BN58</f>
        <v/>
      </c>
      <c r="AJ69" s="180">
        <f>'Slot calculations'!BO58</f>
        <v/>
      </c>
    </row>
    <row r="70" ht="15.75" customHeight="1">
      <c r="A70" s="3" t="n">
        <v>6</v>
      </c>
      <c r="B70" s="133" t="inlineStr">
        <is>
          <t>Iowa State</t>
        </is>
      </c>
      <c r="C70" s="60" t="n"/>
      <c r="D70" s="60" t="n"/>
      <c r="E70" s="183" t="n">
        <v>1</v>
      </c>
      <c r="F70" s="182" t="n">
        <v>1</v>
      </c>
      <c r="G70" s="182" t="n">
        <v>1</v>
      </c>
      <c r="H70" s="182" t="n">
        <v>0</v>
      </c>
      <c r="I70" s="182" t="n">
        <v>0</v>
      </c>
      <c r="J70" s="182" t="n">
        <v>0</v>
      </c>
      <c r="K70" s="27">
        <f>REPT(CHAR(152),SUM($V70:$X70)+Y70+AE70)</f>
        <v/>
      </c>
      <c r="L70" s="10">
        <f>REPT(CHAR(152),SUM($V70:$X70)+Z70+AF70)</f>
        <v/>
      </c>
      <c r="M70" s="10">
        <f>REPT(CHAR(152),SUM($V70:$X70)+AA70+AG70)</f>
        <v/>
      </c>
      <c r="N70" s="10">
        <f>REPT(CHAR(152),SUM($V70:$X70)+AB70+AH70)</f>
        <v/>
      </c>
      <c r="O70" s="10">
        <f>REPT(CHAR(152),SUM($V70:$X70)+AC70+AI70)</f>
        <v/>
      </c>
      <c r="P70" s="28">
        <f>REPT(CHAR(152),SUM($V70:$X70)+AD70+AJ70)</f>
        <v/>
      </c>
      <c r="Q70" s="176">
        <f>VLOOKUP(B70,Quality!A$2:B$252,2,FALSE)</f>
        <v/>
      </c>
      <c r="R70" s="176">
        <f>VLOOKUP(B70,Size!A$2:B$299,2,FALSE)</f>
        <v/>
      </c>
      <c r="S70" s="176">
        <f>VLOOKUP(B70,Mom!A$2:B$68,2,FALSE)</f>
        <v/>
      </c>
      <c r="T70" s="177">
        <f t="array" ref="T70">MEDIAN(IF($A$14:$A$77=$A70,Q$14:Q$77))</f>
        <v/>
      </c>
      <c r="U70" s="177">
        <f t="array" ref="U70">MEDIAN(IF($A$14:$A$77=$A70,R$14:R$77))</f>
        <v/>
      </c>
      <c r="V70" s="178">
        <f>IF(Q70&gt;T70,1,0)</f>
        <v/>
      </c>
      <c r="W70" s="178">
        <f>IF(R70&gt;U70,1,0)</f>
        <v/>
      </c>
      <c r="X70" s="178">
        <f>IF(OR(AND(A70&lt;9,S70&gt;3),AND(A70&gt;8,S70&lt;4)),1,0)</f>
        <v/>
      </c>
      <c r="Y70" s="179">
        <f>'Slot calculations'!BD59</f>
        <v/>
      </c>
      <c r="Z70" s="179">
        <f>'Slot calculations'!BE59</f>
        <v/>
      </c>
      <c r="AA70" s="179">
        <f>'Slot calculations'!BF59</f>
        <v/>
      </c>
      <c r="AB70" s="179">
        <f>'Slot calculations'!BG59</f>
        <v/>
      </c>
      <c r="AC70" s="179">
        <f>'Slot calculations'!BH59</f>
        <v/>
      </c>
      <c r="AD70" s="179">
        <f>'Slot calculations'!BI59</f>
        <v/>
      </c>
      <c r="AE70" s="180">
        <f>'Slot calculations'!BJ59</f>
        <v/>
      </c>
      <c r="AF70" s="180">
        <f>'Slot calculations'!BK59</f>
        <v/>
      </c>
      <c r="AG70" s="180">
        <f>'Slot calculations'!BL59</f>
        <v/>
      </c>
      <c r="AH70" s="180">
        <f>'Slot calculations'!BM59</f>
        <v/>
      </c>
      <c r="AI70" s="180">
        <f>'Slot calculations'!BN59</f>
        <v/>
      </c>
      <c r="AJ70" s="180">
        <f>'Slot calculations'!BO59</f>
        <v/>
      </c>
    </row>
    <row r="71" ht="16.5" customHeight="1" thickBot="1">
      <c r="A71" s="3" t="n">
        <v>11</v>
      </c>
      <c r="B71" s="133" t="inlineStr">
        <is>
          <t>Ohio State</t>
        </is>
      </c>
      <c r="C71" s="60" t="n"/>
      <c r="D71" s="60" t="n"/>
      <c r="E71" s="181" t="n">
        <v>0</v>
      </c>
      <c r="F71" s="182" t="n">
        <v>0</v>
      </c>
      <c r="G71" s="182" t="n">
        <v>0</v>
      </c>
      <c r="H71" s="182" t="n">
        <v>0</v>
      </c>
      <c r="I71" s="182" t="n">
        <v>0</v>
      </c>
      <c r="J71" s="182" t="n">
        <v>0</v>
      </c>
      <c r="K71" s="29">
        <f>REPT(CHAR(152),SUM($V71:$X71)+Y71+AE71)</f>
        <v/>
      </c>
      <c r="L71" s="10">
        <f>REPT(CHAR(152),SUM($V71:$X71)+Z71+AF71)</f>
        <v/>
      </c>
      <c r="M71" s="10">
        <f>REPT(CHAR(152),SUM($V71:$X71)+AA71+AG71)</f>
        <v/>
      </c>
      <c r="N71" s="10">
        <f>REPT(CHAR(152),SUM($V71:$X71)+AB71+AH71)</f>
        <v/>
      </c>
      <c r="O71" s="10">
        <f>REPT(CHAR(152),SUM($V71:$X71)+AC71+AI71)</f>
        <v/>
      </c>
      <c r="P71" s="28">
        <f>REPT(CHAR(152),SUM($V71:$X71)+AD71+AJ71)</f>
        <v/>
      </c>
      <c r="Q71" s="176">
        <f>VLOOKUP(B71,Quality!A$2:B$252,2,FALSE)</f>
        <v/>
      </c>
      <c r="R71" s="176">
        <f>VLOOKUP(B71,Size!A$2:B$299,2,FALSE)</f>
        <v/>
      </c>
      <c r="S71" s="176">
        <f>VLOOKUP(B71,Mom!A$2:B$68,2,FALSE)</f>
        <v/>
      </c>
      <c r="T71" s="177">
        <f t="array" ref="T71">MEDIAN(IF($A$14:$A$77=$A71,Q$14:Q$77))</f>
        <v/>
      </c>
      <c r="U71" s="177">
        <f t="array" ref="U71">MEDIAN(IF($A$14:$A$77=$A71,R$14:R$77))</f>
        <v/>
      </c>
      <c r="V71" s="178">
        <f>IF(Q71&gt;T71,1,0)</f>
        <v/>
      </c>
      <c r="W71" s="178">
        <f>IF(R71&gt;U71,1,0)</f>
        <v/>
      </c>
      <c r="X71" s="178">
        <f>IF(OR(AND(A71&lt;9,S71&gt;3),AND(A71&gt;8,S71&lt;4)),1,0)</f>
        <v/>
      </c>
      <c r="Y71" s="179">
        <f>'Slot calculations'!BD60</f>
        <v/>
      </c>
      <c r="Z71" s="179">
        <f>'Slot calculations'!BE60</f>
        <v/>
      </c>
      <c r="AA71" s="179">
        <f>'Slot calculations'!BF60</f>
        <v/>
      </c>
      <c r="AB71" s="179">
        <f>'Slot calculations'!BG60</f>
        <v/>
      </c>
      <c r="AC71" s="179">
        <f>'Slot calculations'!BH60</f>
        <v/>
      </c>
      <c r="AD71" s="179">
        <f>'Slot calculations'!BI60</f>
        <v/>
      </c>
      <c r="AE71" s="180">
        <f>'Slot calculations'!BJ60</f>
        <v/>
      </c>
      <c r="AF71" s="180">
        <f>'Slot calculations'!BK60</f>
        <v/>
      </c>
      <c r="AG71" s="180">
        <f>'Slot calculations'!BL60</f>
        <v/>
      </c>
      <c r="AH71" s="180">
        <f>'Slot calculations'!BM60</f>
        <v/>
      </c>
      <c r="AI71" s="180">
        <f>'Slot calculations'!BN60</f>
        <v/>
      </c>
      <c r="AJ71" s="180">
        <f>'Slot calculations'!BO60</f>
        <v/>
      </c>
    </row>
    <row r="72" ht="15.75" customHeight="1">
      <c r="A72" s="3" t="n">
        <v>3</v>
      </c>
      <c r="B72" s="133" t="inlineStr">
        <is>
          <t>Houston</t>
        </is>
      </c>
      <c r="C72" s="60" t="n"/>
      <c r="D72" s="60" t="n"/>
      <c r="E72" s="183" t="n">
        <v>1</v>
      </c>
      <c r="F72" s="182" t="n">
        <v>0</v>
      </c>
      <c r="G72" s="182" t="n">
        <v>0</v>
      </c>
      <c r="H72" s="182" t="n">
        <v>0</v>
      </c>
      <c r="I72" s="182" t="n">
        <v>0</v>
      </c>
      <c r="J72" s="182" t="n">
        <v>0</v>
      </c>
      <c r="K72" s="27">
        <f>REPT(CHAR(152),SUM($V72:$X72)+Y72+AE72)</f>
        <v/>
      </c>
      <c r="L72" s="10">
        <f>REPT(CHAR(152),SUM($V72:$X72)+Z72+AF72)</f>
        <v/>
      </c>
      <c r="M72" s="10">
        <f>REPT(CHAR(152),SUM($V72:$X72)+AA72+AG72)</f>
        <v/>
      </c>
      <c r="N72" s="10">
        <f>REPT(CHAR(152),SUM($V72:$X72)+AB72+AH72)</f>
        <v/>
      </c>
      <c r="O72" s="10">
        <f>REPT(CHAR(152),SUM($V72:$X72)+AC72+AI72)</f>
        <v/>
      </c>
      <c r="P72" s="28">
        <f>REPT(CHAR(152),SUM($V72:$X72)+AD72+AJ72)</f>
        <v/>
      </c>
      <c r="Q72" s="176">
        <f>VLOOKUP(B72,Quality!A$2:B$252,2,FALSE)</f>
        <v/>
      </c>
      <c r="R72" s="176">
        <f>VLOOKUP(B72,Size!A$2:B$299,2,FALSE)</f>
        <v/>
      </c>
      <c r="S72" s="176">
        <f>VLOOKUP(B72,Mom!A$2:B$68,2,FALSE)</f>
        <v/>
      </c>
      <c r="T72" s="177">
        <f t="array" ref="T72">MEDIAN(IF($A$14:$A$77=$A72,Q$14:Q$77))</f>
        <v/>
      </c>
      <c r="U72" s="177">
        <f t="array" ref="U72">MEDIAN(IF($A$14:$A$77=$A72,R$14:R$77))</f>
        <v/>
      </c>
      <c r="V72" s="178">
        <f>IF(Q72&gt;T72,1,0)</f>
        <v/>
      </c>
      <c r="W72" s="178">
        <f>IF(R72&gt;U72,1,0)</f>
        <v/>
      </c>
      <c r="X72" s="178">
        <f>IF(OR(AND(A72&lt;9,S72&gt;3),AND(A72&gt;8,S72&lt;4)),1,0)</f>
        <v/>
      </c>
      <c r="Y72" s="179">
        <f>'Slot calculations'!BD61</f>
        <v/>
      </c>
      <c r="Z72" s="179">
        <f>'Slot calculations'!BE61</f>
        <v/>
      </c>
      <c r="AA72" s="179">
        <f>'Slot calculations'!BF61</f>
        <v/>
      </c>
      <c r="AB72" s="179">
        <f>'Slot calculations'!BG61</f>
        <v/>
      </c>
      <c r="AC72" s="179">
        <f>'Slot calculations'!BH61</f>
        <v/>
      </c>
      <c r="AD72" s="179">
        <f>'Slot calculations'!BI61</f>
        <v/>
      </c>
      <c r="AE72" s="180">
        <f>'Slot calculations'!BJ61</f>
        <v/>
      </c>
      <c r="AF72" s="180">
        <f>'Slot calculations'!BK61</f>
        <v/>
      </c>
      <c r="AG72" s="180">
        <f>'Slot calculations'!BL61</f>
        <v/>
      </c>
      <c r="AH72" s="180">
        <f>'Slot calculations'!BM61</f>
        <v/>
      </c>
      <c r="AI72" s="180">
        <f>'Slot calculations'!BN61</f>
        <v/>
      </c>
      <c r="AJ72" s="180">
        <f>'Slot calculations'!BO61</f>
        <v/>
      </c>
    </row>
    <row r="73" ht="16.5" customHeight="1" thickBot="1">
      <c r="A73" s="3" t="n">
        <v>14</v>
      </c>
      <c r="B73" s="133" t="inlineStr">
        <is>
          <t>Georgia State</t>
        </is>
      </c>
      <c r="C73" s="60" t="n"/>
      <c r="D73" s="60" t="n"/>
      <c r="E73" s="181" t="n">
        <v>0</v>
      </c>
      <c r="F73" s="184" t="n">
        <v>0</v>
      </c>
      <c r="G73" s="182" t="n">
        <v>0</v>
      </c>
      <c r="H73" s="182" t="n">
        <v>0</v>
      </c>
      <c r="I73" s="182" t="n">
        <v>0</v>
      </c>
      <c r="J73" s="182" t="n">
        <v>0</v>
      </c>
      <c r="K73" s="29">
        <f>REPT(CHAR(152),SUM($V73:$X73)+Y73+AE73)</f>
        <v/>
      </c>
      <c r="L73" s="14">
        <f>REPT(CHAR(152),SUM($V73:$X73)+Z73+AF73)</f>
        <v/>
      </c>
      <c r="M73" s="10">
        <f>REPT(CHAR(152),SUM($V73:$X73)+AA73+AG73)</f>
        <v/>
      </c>
      <c r="N73" s="10">
        <f>REPT(CHAR(152),SUM($V73:$X73)+AB73+AH73)</f>
        <v/>
      </c>
      <c r="O73" s="10">
        <f>REPT(CHAR(152),SUM($V73:$X73)+AC73+AI73)</f>
        <v/>
      </c>
      <c r="P73" s="28">
        <f>REPT(CHAR(152),SUM($V73:$X73)+AD73+AJ73)</f>
        <v/>
      </c>
      <c r="Q73" s="176">
        <f>VLOOKUP(B73,Quality!A$2:B$252,2,FALSE)</f>
        <v/>
      </c>
      <c r="R73" s="176">
        <f>VLOOKUP(B73,Size!A$2:B$299,2,FALSE)</f>
        <v/>
      </c>
      <c r="S73" s="176">
        <f>VLOOKUP(B73,Mom!A$2:B$68,2,FALSE)</f>
        <v/>
      </c>
      <c r="T73" s="177">
        <f t="array" ref="T73">MEDIAN(IF($A$14:$A$77=$A73,Q$14:Q$77))</f>
        <v/>
      </c>
      <c r="U73" s="177">
        <f t="array" ref="U73">MEDIAN(IF($A$14:$A$77=$A73,R$14:R$77))</f>
        <v/>
      </c>
      <c r="V73" s="178">
        <f>IF(Q73&gt;T73,1,0)</f>
        <v/>
      </c>
      <c r="W73" s="178">
        <f>IF(R73&gt;U73,1,0)</f>
        <v/>
      </c>
      <c r="X73" s="178">
        <f>IF(OR(AND(A73&lt;9,S73&gt;3),AND(A73&gt;8,S73&lt;4)),1,0)</f>
        <v/>
      </c>
      <c r="Y73" s="179">
        <f>'Slot calculations'!BD62</f>
        <v/>
      </c>
      <c r="Z73" s="179">
        <f>'Slot calculations'!BE62</f>
        <v/>
      </c>
      <c r="AA73" s="179">
        <f>'Slot calculations'!BF62</f>
        <v/>
      </c>
      <c r="AB73" s="179">
        <f>'Slot calculations'!BG62</f>
        <v/>
      </c>
      <c r="AC73" s="179">
        <f>'Slot calculations'!BH62</f>
        <v/>
      </c>
      <c r="AD73" s="179">
        <f>'Slot calculations'!BI62</f>
        <v/>
      </c>
      <c r="AE73" s="180">
        <f>'Slot calculations'!BJ62</f>
        <v/>
      </c>
      <c r="AF73" s="180">
        <f>'Slot calculations'!BK62</f>
        <v/>
      </c>
      <c r="AG73" s="180">
        <f>'Slot calculations'!BL62</f>
        <v/>
      </c>
      <c r="AH73" s="180">
        <f>'Slot calculations'!BM62</f>
        <v/>
      </c>
      <c r="AI73" s="180">
        <f>'Slot calculations'!BN62</f>
        <v/>
      </c>
      <c r="AJ73" s="180">
        <f>'Slot calculations'!BO62</f>
        <v/>
      </c>
    </row>
    <row r="74" ht="15.75" customHeight="1">
      <c r="A74" s="3" t="n">
        <v>7</v>
      </c>
      <c r="B74" s="133" t="inlineStr">
        <is>
          <t>Wofford</t>
        </is>
      </c>
      <c r="C74" s="60" t="n"/>
      <c r="D74" s="60" t="n"/>
      <c r="E74" s="183" t="n">
        <v>1</v>
      </c>
      <c r="F74" s="182" t="n">
        <v>1</v>
      </c>
      <c r="G74" s="182" t="n">
        <v>0</v>
      </c>
      <c r="H74" s="182" t="n">
        <v>0</v>
      </c>
      <c r="I74" s="182" t="n">
        <v>0</v>
      </c>
      <c r="J74" s="182" t="n">
        <v>0</v>
      </c>
      <c r="K74" s="27">
        <f>REPT(CHAR(152),SUM($V74:$X74)+Y74+AE74)</f>
        <v/>
      </c>
      <c r="L74" s="10">
        <f>REPT(CHAR(152),SUM($V74:$X74)+Z74+AF74)</f>
        <v/>
      </c>
      <c r="M74" s="10">
        <f>REPT(CHAR(152),SUM($V74:$X74)+AA74+AG74)</f>
        <v/>
      </c>
      <c r="N74" s="10">
        <f>REPT(CHAR(152),SUM($V74:$X74)+AB74+AH74)</f>
        <v/>
      </c>
      <c r="O74" s="10">
        <f>REPT(CHAR(152),SUM($V74:$X74)+AC74+AI74)</f>
        <v/>
      </c>
      <c r="P74" s="28">
        <f>REPT(CHAR(152),SUM($V74:$X74)+AD74+AJ74)</f>
        <v/>
      </c>
      <c r="Q74" s="176">
        <f>VLOOKUP(B74,Quality!A$2:B$252,2,FALSE)</f>
        <v/>
      </c>
      <c r="R74" s="176">
        <f>VLOOKUP(B74,Size!A$2:B$299,2,FALSE)</f>
        <v/>
      </c>
      <c r="S74" s="176">
        <f>VLOOKUP(B74,Mom!A$2:B$68,2,FALSE)</f>
        <v/>
      </c>
      <c r="T74" s="177">
        <f t="array" ref="T74">MEDIAN(IF($A$14:$A$77=$A74,Q$14:Q$77))</f>
        <v/>
      </c>
      <c r="U74" s="177">
        <f t="array" ref="U74">MEDIAN(IF($A$14:$A$77=$A74,R$14:R$77))</f>
        <v/>
      </c>
      <c r="V74" s="178">
        <f>IF(Q74&gt;T74,1,0)</f>
        <v/>
      </c>
      <c r="W74" s="178">
        <f>IF(R74&gt;U74,1,0)</f>
        <v/>
      </c>
      <c r="X74" s="178">
        <f>IF(OR(AND(A74&lt;9,S74&gt;3),AND(A74&gt;8,S74&lt;4)),1,0)</f>
        <v/>
      </c>
      <c r="Y74" s="179">
        <f>'Slot calculations'!BD63</f>
        <v/>
      </c>
      <c r="Z74" s="179">
        <f>'Slot calculations'!BE63</f>
        <v/>
      </c>
      <c r="AA74" s="179">
        <f>'Slot calculations'!BF63</f>
        <v/>
      </c>
      <c r="AB74" s="179">
        <f>'Slot calculations'!BG63</f>
        <v/>
      </c>
      <c r="AC74" s="179">
        <f>'Slot calculations'!BH63</f>
        <v/>
      </c>
      <c r="AD74" s="179">
        <f>'Slot calculations'!BI63</f>
        <v/>
      </c>
      <c r="AE74" s="180">
        <f>'Slot calculations'!BJ63</f>
        <v/>
      </c>
      <c r="AF74" s="180">
        <f>'Slot calculations'!BK63</f>
        <v/>
      </c>
      <c r="AG74" s="180">
        <f>'Slot calculations'!BL63</f>
        <v/>
      </c>
      <c r="AH74" s="180">
        <f>'Slot calculations'!BM63</f>
        <v/>
      </c>
      <c r="AI74" s="180">
        <f>'Slot calculations'!BN63</f>
        <v/>
      </c>
      <c r="AJ74" s="180">
        <f>'Slot calculations'!BO63</f>
        <v/>
      </c>
    </row>
    <row r="75" ht="16.5" customHeight="1" thickBot="1">
      <c r="A75" s="3" t="n">
        <v>10</v>
      </c>
      <c r="B75" s="133" t="inlineStr">
        <is>
          <t>Seton Hall</t>
        </is>
      </c>
      <c r="C75" s="60" t="n"/>
      <c r="D75" s="60" t="n"/>
      <c r="E75" s="181" t="n">
        <v>0</v>
      </c>
      <c r="F75" s="182" t="n">
        <v>0</v>
      </c>
      <c r="G75" s="182" t="n">
        <v>0</v>
      </c>
      <c r="H75" s="182" t="n">
        <v>0</v>
      </c>
      <c r="I75" s="182" t="n">
        <v>0</v>
      </c>
      <c r="J75" s="182" t="n">
        <v>0</v>
      </c>
      <c r="K75" s="29">
        <f>REPT(CHAR(152),SUM($V75:$X75)+Y75+AE75)</f>
        <v/>
      </c>
      <c r="L75" s="10">
        <f>REPT(CHAR(152),SUM($V75:$X75)+Z75+AF75)</f>
        <v/>
      </c>
      <c r="M75" s="10">
        <f>REPT(CHAR(152),SUM($V75:$X75)+AA75+AG75)</f>
        <v/>
      </c>
      <c r="N75" s="10">
        <f>REPT(CHAR(152),SUM($V75:$X75)+AB75+AH75)</f>
        <v/>
      </c>
      <c r="O75" s="10">
        <f>REPT(CHAR(152),SUM($V75:$X75)+AC75+AI75)</f>
        <v/>
      </c>
      <c r="P75" s="28">
        <f>REPT(CHAR(152),SUM($V75:$X75)+AD75+AJ75)</f>
        <v/>
      </c>
      <c r="Q75" s="176">
        <f>VLOOKUP(B75,Quality!A$2:B$252,2,FALSE)</f>
        <v/>
      </c>
      <c r="R75" s="176">
        <f>VLOOKUP(B75,Size!A$2:B$299,2,FALSE)</f>
        <v/>
      </c>
      <c r="S75" s="176">
        <f>VLOOKUP(B75,Mom!A$2:B$68,2,FALSE)</f>
        <v/>
      </c>
      <c r="T75" s="177">
        <f t="array" ref="T75">MEDIAN(IF($A$14:$A$77=$A75,Q$14:Q$77))</f>
        <v/>
      </c>
      <c r="U75" s="177">
        <f t="array" ref="U75">MEDIAN(IF($A$14:$A$77=$A75,R$14:R$77))</f>
        <v/>
      </c>
      <c r="V75" s="178">
        <f>IF(Q75&gt;T75,1,0)</f>
        <v/>
      </c>
      <c r="W75" s="178">
        <f>IF(R75&gt;U75,1,0)</f>
        <v/>
      </c>
      <c r="X75" s="178">
        <f>IF(OR(AND(A75&lt;9,S75&gt;3),AND(A75&gt;8,S75&lt;4)),1,0)</f>
        <v/>
      </c>
      <c r="Y75" s="179">
        <f>'Slot calculations'!BD64</f>
        <v/>
      </c>
      <c r="Z75" s="179">
        <f>'Slot calculations'!BE64</f>
        <v/>
      </c>
      <c r="AA75" s="179">
        <f>'Slot calculations'!BF64</f>
        <v/>
      </c>
      <c r="AB75" s="179">
        <f>'Slot calculations'!BG64</f>
        <v/>
      </c>
      <c r="AC75" s="179">
        <f>'Slot calculations'!BH64</f>
        <v/>
      </c>
      <c r="AD75" s="179">
        <f>'Slot calculations'!BI64</f>
        <v/>
      </c>
      <c r="AE75" s="180">
        <f>'Slot calculations'!BJ64</f>
        <v/>
      </c>
      <c r="AF75" s="180">
        <f>'Slot calculations'!BK64</f>
        <v/>
      </c>
      <c r="AG75" s="180">
        <f>'Slot calculations'!BL64</f>
        <v/>
      </c>
      <c r="AH75" s="180">
        <f>'Slot calculations'!BM64</f>
        <v/>
      </c>
      <c r="AI75" s="180">
        <f>'Slot calculations'!BN64</f>
        <v/>
      </c>
      <c r="AJ75" s="180">
        <f>'Slot calculations'!BO64</f>
        <v/>
      </c>
    </row>
    <row r="76" ht="15.75" customHeight="1">
      <c r="A76" s="3" t="n">
        <v>2</v>
      </c>
      <c r="B76" s="133" t="inlineStr">
        <is>
          <t>Kentucky</t>
        </is>
      </c>
      <c r="C76" s="60" t="n"/>
      <c r="D76" s="60" t="n"/>
      <c r="E76" s="183" t="n">
        <v>1</v>
      </c>
      <c r="F76" s="182" t="n">
        <v>0</v>
      </c>
      <c r="G76" s="182" t="n">
        <v>0</v>
      </c>
      <c r="H76" s="182" t="n">
        <v>0</v>
      </c>
      <c r="I76" s="182" t="n">
        <v>0</v>
      </c>
      <c r="J76" s="182" t="n">
        <v>0</v>
      </c>
      <c r="K76" s="27">
        <f>REPT(CHAR(152),SUM($V76:$X76)+Y76+AE76)</f>
        <v/>
      </c>
      <c r="L76" s="10">
        <f>REPT(CHAR(152),SUM($V76:$X76)+Z76+AF76)</f>
        <v/>
      </c>
      <c r="M76" s="10">
        <f>REPT(CHAR(152),SUM($V76:$X76)+AA76+AG76)</f>
        <v/>
      </c>
      <c r="N76" s="10">
        <f>REPT(CHAR(152),SUM($V76:$X76)+AB76+AH76)</f>
        <v/>
      </c>
      <c r="O76" s="10">
        <f>REPT(CHAR(152),SUM($V76:$X76)+AC76+AI76)</f>
        <v/>
      </c>
      <c r="P76" s="28">
        <f>REPT(CHAR(152),SUM($V76:$X76)+AD76+AJ76)</f>
        <v/>
      </c>
      <c r="Q76" s="176">
        <f>VLOOKUP(B76,Quality!A$2:B$252,2,FALSE)</f>
        <v/>
      </c>
      <c r="R76" s="176">
        <f>VLOOKUP(B76,Size!A$2:B$299,2,FALSE)</f>
        <v/>
      </c>
      <c r="S76" s="176">
        <f>VLOOKUP(B76,Mom!A$2:B$68,2,FALSE)</f>
        <v/>
      </c>
      <c r="T76" s="177">
        <f t="array" ref="T76">MEDIAN(IF($A$14:$A$77=$A76,Q$14:Q$77))</f>
        <v/>
      </c>
      <c r="U76" s="177">
        <f t="array" ref="U76">MEDIAN(IF($A$14:$A$77=$A76,R$14:R$77))</f>
        <v/>
      </c>
      <c r="V76" s="178">
        <f>IF(Q76&gt;T76,1,0)</f>
        <v/>
      </c>
      <c r="W76" s="178">
        <f>IF(R76&gt;U76,1,0)</f>
        <v/>
      </c>
      <c r="X76" s="178">
        <f>IF(OR(AND(A76&lt;9,S76&gt;3),AND(A76&gt;8,S76&lt;4)),1,0)</f>
        <v/>
      </c>
      <c r="Y76" s="179">
        <f>'Slot calculations'!BD65</f>
        <v/>
      </c>
      <c r="Z76" s="179">
        <f>'Slot calculations'!BE65</f>
        <v/>
      </c>
      <c r="AA76" s="179">
        <f>'Slot calculations'!BF65</f>
        <v/>
      </c>
      <c r="AB76" s="179">
        <f>'Slot calculations'!BG65</f>
        <v/>
      </c>
      <c r="AC76" s="179">
        <f>'Slot calculations'!BH65</f>
        <v/>
      </c>
      <c r="AD76" s="179">
        <f>'Slot calculations'!BI65</f>
        <v/>
      </c>
      <c r="AE76" s="180">
        <f>'Slot calculations'!BJ65</f>
        <v/>
      </c>
      <c r="AF76" s="180">
        <f>'Slot calculations'!BK65</f>
        <v/>
      </c>
      <c r="AG76" s="180">
        <f>'Slot calculations'!BL65</f>
        <v/>
      </c>
      <c r="AH76" s="180">
        <f>'Slot calculations'!BM65</f>
        <v/>
      </c>
      <c r="AI76" s="180">
        <f>'Slot calculations'!BN65</f>
        <v/>
      </c>
      <c r="AJ76" s="180">
        <f>'Slot calculations'!BO65</f>
        <v/>
      </c>
    </row>
    <row r="77" ht="16.5" customHeight="1" thickBot="1">
      <c r="A77" s="3" t="n">
        <v>15</v>
      </c>
      <c r="B77" s="133" t="inlineStr">
        <is>
          <t>Abilene Christian</t>
        </is>
      </c>
      <c r="C77" s="60" t="n"/>
      <c r="D77" s="60" t="n"/>
      <c r="E77" s="181" t="n">
        <v>0</v>
      </c>
      <c r="F77" s="184" t="n">
        <v>0</v>
      </c>
      <c r="G77" s="184" t="n">
        <v>0</v>
      </c>
      <c r="H77" s="184" t="n">
        <v>0</v>
      </c>
      <c r="I77" s="184" t="n">
        <v>0</v>
      </c>
      <c r="J77" s="184" t="n">
        <v>0</v>
      </c>
      <c r="K77" s="29">
        <f>REPT(CHAR(152),SUM($V77:$X77)+Y77+AE77)</f>
        <v/>
      </c>
      <c r="L77" s="14">
        <f>REPT(CHAR(152),SUM($V77:$X77)+Z77+AF77)</f>
        <v/>
      </c>
      <c r="M77" s="14">
        <f>REPT(CHAR(152),SUM($V77:$X77)+AA77+AG77)</f>
        <v/>
      </c>
      <c r="N77" s="14">
        <f>REPT(CHAR(152),SUM($V77:$X77)+AB77+AH77)</f>
        <v/>
      </c>
      <c r="O77" s="14">
        <f>REPT(CHAR(152),SUM($V77:$X77)+AC77+AI77)</f>
        <v/>
      </c>
      <c r="P77" s="30">
        <f>REPT(CHAR(152),SUM($V77:$X77)+AD77+AJ77)</f>
        <v/>
      </c>
      <c r="Q77" s="176">
        <f>VLOOKUP(B77,Quality!A$2:B$252,2,FALSE)</f>
        <v/>
      </c>
      <c r="R77" s="176" t="n">
        <v>0</v>
      </c>
      <c r="S77" s="176">
        <f>VLOOKUP(B77,Mom!A$2:B$68,2,FALSE)</f>
        <v/>
      </c>
      <c r="T77" s="177">
        <f t="array" ref="T77">MEDIAN(IF($A$14:$A$77=$A77,Q$14:Q$77))</f>
        <v/>
      </c>
      <c r="U77" s="177">
        <f t="array" ref="U77">MEDIAN(IF($A$14:$A$77=$A77,R$14:R$77))</f>
        <v/>
      </c>
      <c r="V77" s="178">
        <f>IF(Q77&gt;T77,1,0)</f>
        <v/>
      </c>
      <c r="W77" s="178">
        <f>IF(R77&gt;U77,1,0)</f>
        <v/>
      </c>
      <c r="X77" s="178">
        <f>IF(OR(AND(A77&lt;9,S77&gt;3),AND(A77&gt;8,S77&lt;4)),1,0)</f>
        <v/>
      </c>
      <c r="Y77" s="179">
        <f>'Slot calculations'!BD66</f>
        <v/>
      </c>
      <c r="Z77" s="179">
        <f>'Slot calculations'!BE66</f>
        <v/>
      </c>
      <c r="AA77" s="179">
        <f>'Slot calculations'!BF66</f>
        <v/>
      </c>
      <c r="AB77" s="179">
        <f>'Slot calculations'!BG66</f>
        <v/>
      </c>
      <c r="AC77" s="179">
        <f>'Slot calculations'!BH66</f>
        <v/>
      </c>
      <c r="AD77" s="179">
        <f>'Slot calculations'!BI66</f>
        <v/>
      </c>
      <c r="AE77" s="180">
        <f>'Slot calculations'!BJ66</f>
        <v/>
      </c>
      <c r="AF77" s="180">
        <f>'Slot calculations'!BK66</f>
        <v/>
      </c>
      <c r="AG77" s="180">
        <f>'Slot calculations'!BL66</f>
        <v/>
      </c>
      <c r="AH77" s="180">
        <f>'Slot calculations'!BM66</f>
        <v/>
      </c>
      <c r="AI77" s="180">
        <f>'Slot calculations'!BN66</f>
        <v/>
      </c>
      <c r="AJ77" s="180">
        <f>'Slot calculations'!BO66</f>
        <v/>
      </c>
    </row>
    <row r="78">
      <c r="B78" s="133" t="inlineStr">
        <is>
          <t>North Dakota State</t>
        </is>
      </c>
      <c r="C78" s="60" t="n"/>
      <c r="D78" s="60" t="n"/>
      <c r="E78" s="61" t="n"/>
      <c r="F78" s="61" t="n"/>
      <c r="G78" s="61" t="n"/>
      <c r="H78" s="61" t="n"/>
      <c r="I78" s="61" t="n"/>
      <c r="J78" s="61" t="n"/>
      <c r="Q78" s="176">
        <f>VLOOKUP(B78,Quality!A$2:B$252,2,FALSE)</f>
        <v/>
      </c>
      <c r="R78" s="176">
        <f>VLOOKUP(B78,Size!A$2:B$299,2,FALSE)</f>
        <v/>
      </c>
      <c r="S78" s="176">
        <f>VLOOKUP(B78,Mom!A$2:B$68,2,FALSE)</f>
        <v/>
      </c>
      <c r="T78" s="185" t="n"/>
      <c r="U78" s="185" t="n"/>
      <c r="V78" s="185" t="n"/>
      <c r="W78" s="185" t="n"/>
      <c r="X78" s="185" t="n"/>
    </row>
    <row r="79">
      <c r="B79" s="133" t="inlineStr">
        <is>
          <t>North Carolina Central</t>
        </is>
      </c>
      <c r="C79" s="60" t="n"/>
      <c r="D79" s="60" t="n"/>
      <c r="E79" s="61" t="n"/>
      <c r="F79" s="61" t="n"/>
      <c r="G79" s="61" t="n"/>
      <c r="H79" s="61" t="n"/>
      <c r="I79" s="61" t="n"/>
      <c r="J79" s="61" t="n"/>
      <c r="Q79" s="176">
        <f>VLOOKUP(B79,Quality!A$2:B$252,2,FALSE)</f>
        <v/>
      </c>
      <c r="R79" s="176">
        <f>VLOOKUP(B79,Size!A$2:B$299,2,FALSE)</f>
        <v/>
      </c>
      <c r="S79" s="176">
        <f>VLOOKUP(B79,Mom!A$2:B$68,2,FALSE)</f>
        <v/>
      </c>
      <c r="T79" s="185" t="n"/>
      <c r="U79" s="185" t="n"/>
      <c r="V79" s="185" t="n"/>
      <c r="W79" s="185" t="n"/>
      <c r="X79" s="185" t="n"/>
    </row>
    <row r="80">
      <c r="B80" s="133" t="inlineStr">
        <is>
          <t>Belmont</t>
        </is>
      </c>
      <c r="C80" s="60" t="n"/>
      <c r="D80" s="60" t="n"/>
      <c r="E80" s="61" t="n"/>
      <c r="F80" s="61" t="n"/>
      <c r="G80" s="61" t="n"/>
      <c r="H80" s="61" t="n"/>
      <c r="I80" s="61" t="n"/>
      <c r="J80" s="61" t="n"/>
      <c r="Q80" s="176">
        <f>VLOOKUP(B80,Quality!A$2:B$252,2,FALSE)</f>
        <v/>
      </c>
      <c r="R80" s="176">
        <f>VLOOKUP(B80,Size!A$2:B$299,2,FALSE)</f>
        <v/>
      </c>
      <c r="S80" s="176">
        <f>VLOOKUP(B80,Mom!A$2:B$68,2,FALSE)</f>
        <v/>
      </c>
      <c r="T80" s="185" t="n"/>
      <c r="U80" s="185" t="n"/>
      <c r="V80" s="185" t="n"/>
      <c r="W80" s="185" t="n"/>
      <c r="X80" s="185" t="n"/>
    </row>
    <row r="81">
      <c r="B81" s="133" t="inlineStr">
        <is>
          <t>Temple</t>
        </is>
      </c>
      <c r="C81" s="60" t="n"/>
      <c r="D81" s="60" t="n"/>
      <c r="E81" s="61" t="n"/>
      <c r="F81" s="61" t="n"/>
      <c r="G81" s="61" t="n"/>
      <c r="H81" s="61" t="n"/>
      <c r="I81" s="61" t="n"/>
      <c r="J81" s="61" t="n"/>
      <c r="Q81" s="176">
        <f>VLOOKUP(B81,Quality!A$2:B$252,2,FALSE)</f>
        <v/>
      </c>
      <c r="R81" s="176">
        <f>VLOOKUP(B81,Size!A$2:B$299,2,FALSE)</f>
        <v/>
      </c>
      <c r="S81" s="176">
        <f>VLOOKUP(B81,Mom!A$2:B$68,2,FALSE)</f>
        <v/>
      </c>
      <c r="T81" s="185" t="n"/>
      <c r="U81" s="185" t="n"/>
      <c r="V81" s="185" t="n"/>
      <c r="W81" s="185" t="n"/>
      <c r="X81" s="185" t="n"/>
    </row>
    <row r="82">
      <c r="B82" s="133" t="inlineStr">
        <is>
          <t>Fairleigh Dickinson</t>
        </is>
      </c>
      <c r="C82" s="60" t="n"/>
      <c r="D82" s="60" t="n"/>
      <c r="E82" s="61" t="n"/>
      <c r="F82" s="61" t="n"/>
      <c r="G82" s="61" t="n"/>
      <c r="H82" s="61" t="n"/>
      <c r="I82" s="61" t="n"/>
      <c r="J82" s="61" t="n"/>
      <c r="Q82" s="176">
        <f>VLOOKUP(B82,Quality!A$2:B$252,2,FALSE)</f>
        <v/>
      </c>
      <c r="R82" s="176">
        <f>VLOOKUP(B82,Size!A$2:B$299,2,FALSE)</f>
        <v/>
      </c>
      <c r="S82" s="176">
        <f>VLOOKUP(B82,Mom!A$2:B$68,2,FALSE)</f>
        <v/>
      </c>
      <c r="T82" s="185" t="n"/>
      <c r="U82" s="185" t="n"/>
      <c r="V82" s="185" t="n"/>
      <c r="W82" s="185" t="n"/>
      <c r="X82" s="185" t="n"/>
    </row>
    <row r="83">
      <c r="B83" s="133" t="inlineStr">
        <is>
          <t>Prairie View A&amp;M</t>
        </is>
      </c>
      <c r="C83" s="60" t="n"/>
      <c r="D83" s="60" t="n"/>
      <c r="E83" s="61" t="n"/>
      <c r="F83" s="61" t="n"/>
      <c r="G83" s="61" t="n"/>
      <c r="H83" s="61" t="n"/>
      <c r="I83" s="61" t="n"/>
      <c r="J83" s="61" t="n"/>
      <c r="Q83" s="176">
        <f>VLOOKUP(B83,Quality!A$2:B$252,2,FALSE)</f>
        <v/>
      </c>
      <c r="R83" s="176">
        <f>VLOOKUP(B83,Size!A$2:B$299,2,FALSE)</f>
        <v/>
      </c>
      <c r="S83" s="176">
        <f>VLOOKUP(B83,Mom!A$2:B$68,2,FALSE)</f>
        <v/>
      </c>
      <c r="T83" s="185" t="n"/>
      <c r="U83" s="185" t="n"/>
      <c r="V83" s="185" t="n"/>
      <c r="W83" s="185" t="n"/>
      <c r="X83" s="185" t="n"/>
    </row>
    <row r="84">
      <c r="B84" s="133" t="inlineStr">
        <is>
          <t>Arizona State</t>
        </is>
      </c>
      <c r="C84" s="60" t="n"/>
      <c r="D84" s="60" t="n"/>
      <c r="E84" s="61" t="n"/>
      <c r="F84" s="61" t="n"/>
      <c r="G84" s="61" t="n"/>
      <c r="H84" s="61" t="n"/>
      <c r="I84" s="61" t="n"/>
      <c r="J84" s="61" t="n"/>
      <c r="Q84" s="176">
        <f>VLOOKUP(B84,Quality!A$2:B$252,2,FALSE)</f>
        <v/>
      </c>
      <c r="R84" s="176">
        <f>VLOOKUP(B84,Size!A$2:B$299,2,FALSE)</f>
        <v/>
      </c>
      <c r="S84" s="176">
        <f>VLOOKUP(B84,Mom!A$2:B$68,2,FALSE)</f>
        <v/>
      </c>
      <c r="T84" s="185" t="n"/>
      <c r="U84" s="185" t="n"/>
      <c r="V84" s="185" t="n"/>
      <c r="W84" s="185" t="n"/>
      <c r="X84" s="185" t="n"/>
    </row>
    <row r="85">
      <c r="B85" s="133" t="inlineStr">
        <is>
          <t>St. John's</t>
        </is>
      </c>
      <c r="C85" s="60" t="n"/>
      <c r="D85" s="60" t="n"/>
      <c r="E85" s="61" t="n"/>
      <c r="F85" s="61" t="n"/>
      <c r="G85" s="61" t="n"/>
      <c r="H85" s="61" t="n"/>
      <c r="I85" s="61" t="n"/>
      <c r="J85" s="61" t="n"/>
      <c r="Q85" s="176">
        <f>VLOOKUP(B85,Quality!A$2:B$252,2,FALSE)</f>
        <v/>
      </c>
      <c r="R85" s="176">
        <f>VLOOKUP(B85,Size!A$2:B$299,2,FALSE)</f>
        <v/>
      </c>
      <c r="S85" s="176">
        <f>VLOOKUP(B85,Mom!A$2:B$68,2,FALSE)</f>
        <v/>
      </c>
      <c r="T85" s="185" t="n"/>
      <c r="U85" s="185" t="n"/>
      <c r="V85" s="185" t="n"/>
      <c r="W85" s="185" t="n"/>
      <c r="X85" s="185" t="n"/>
    </row>
  </sheetData>
  <mergeCells count="23">
    <mergeCell ref="B12:B13"/>
    <mergeCell ref="L5:N5"/>
    <mergeCell ref="A5:B6"/>
    <mergeCell ref="A3:C3"/>
    <mergeCell ref="L4:N4"/>
    <mergeCell ref="K12:P12"/>
    <mergeCell ref="A2:C2"/>
    <mergeCell ref="L1:N3"/>
    <mergeCell ref="A12:A13"/>
    <mergeCell ref="A10:B11"/>
    <mergeCell ref="A4:C4"/>
    <mergeCell ref="L6:N6"/>
    <mergeCell ref="Y12:AD12"/>
    <mergeCell ref="T12:U12"/>
    <mergeCell ref="A9:C9"/>
    <mergeCell ref="V12:X12"/>
    <mergeCell ref="E12:J12"/>
    <mergeCell ref="Q12:S12"/>
    <mergeCell ref="L7:N7"/>
    <mergeCell ref="A1:C1"/>
    <mergeCell ref="A7:B8"/>
    <mergeCell ref="O1:O3"/>
    <mergeCell ref="AE12:AJ1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99"/>
  <sheetViews>
    <sheetView workbookViewId="0">
      <selection activeCell="A1" sqref="A1"/>
    </sheetView>
  </sheetViews>
  <sheetFormatPr baseColWidth="8" defaultRowHeight="15"/>
  <cols>
    <col width="24.28515625" bestFit="1" customWidth="1" style="38" min="1" max="1"/>
    <col width="29.42578125" bestFit="1" customWidth="1" style="38" min="2" max="2"/>
    <col width="9.140625" customWidth="1" style="38" min="3" max="16384"/>
  </cols>
  <sheetData>
    <row r="1">
      <c r="A1" s="40" t="inlineStr">
        <is>
          <t>Team</t>
        </is>
      </c>
      <c r="B1" s="40" t="inlineStr">
        <is>
          <t>Prior NCAA tournament success</t>
        </is>
      </c>
    </row>
    <row r="2">
      <c r="A2" s="40" t="inlineStr">
        <is>
          <t>Air Force</t>
        </is>
      </c>
      <c r="B2" s="46" t="n">
        <v>0.1126999418470402</v>
      </c>
    </row>
    <row r="3">
      <c r="A3" s="40" t="inlineStr">
        <is>
          <t>Akron</t>
        </is>
      </c>
      <c r="B3" s="46" t="n">
        <v>0.6724052096251432</v>
      </c>
    </row>
    <row r="4">
      <c r="A4" s="40" t="inlineStr">
        <is>
          <t>Alabama</t>
        </is>
      </c>
      <c r="B4" s="46" t="n">
        <v>5.831165984212834</v>
      </c>
    </row>
    <row r="5">
      <c r="A5" s="40" t="inlineStr">
        <is>
          <t>Alabama St</t>
        </is>
      </c>
      <c r="B5" s="46" t="n">
        <v>0.06649846324789258</v>
      </c>
    </row>
    <row r="6">
      <c r="A6" s="40" t="inlineStr">
        <is>
          <t>Albany</t>
        </is>
      </c>
      <c r="B6" s="46" t="n">
        <v>1.403898822656001</v>
      </c>
    </row>
    <row r="7">
      <c r="A7" s="40" t="inlineStr">
        <is>
          <t>Alcorn St</t>
        </is>
      </c>
      <c r="B7" s="46" t="n">
        <v>0.01441151880758561</v>
      </c>
    </row>
    <row r="8">
      <c r="A8" s="40" t="inlineStr">
        <is>
          <t>American</t>
        </is>
      </c>
      <c r="B8" s="46" t="n">
        <v>0.6511919104000004</v>
      </c>
    </row>
    <row r="9">
      <c r="A9" s="40" t="inlineStr">
        <is>
          <t>Appalachian St</t>
        </is>
      </c>
      <c r="B9" s="46" t="n">
        <v>0.01801439850948202</v>
      </c>
    </row>
    <row r="10">
      <c r="A10" s="40" t="inlineStr">
        <is>
          <t>Arizona</t>
        </is>
      </c>
      <c r="B10" s="46" t="n">
        <v>45.95445667219895</v>
      </c>
    </row>
    <row r="11">
      <c r="A11" s="40" t="inlineStr">
        <is>
          <t>Arizona State</t>
        </is>
      </c>
      <c r="B11" s="46" t="n">
        <v>1.155909387948117</v>
      </c>
    </row>
    <row r="12">
      <c r="A12" s="40" t="inlineStr">
        <is>
          <t>Arkansas</t>
        </is>
      </c>
      <c r="B12" s="46" t="n">
        <v>8.402094907072506</v>
      </c>
    </row>
    <row r="13">
      <c r="A13" s="40" t="inlineStr">
        <is>
          <t>Arkansas Little Rock</t>
        </is>
      </c>
      <c r="B13" s="46" t="n">
        <v>2.566650832861061</v>
      </c>
    </row>
    <row r="14">
      <c r="A14" s="40" t="inlineStr">
        <is>
          <t>Arkansas Pine Bluff</t>
        </is>
      </c>
      <c r="B14" s="46" t="n">
        <v>0.1677721600000001</v>
      </c>
    </row>
    <row r="15">
      <c r="A15" s="40" t="inlineStr">
        <is>
          <t>Arkansas St</t>
        </is>
      </c>
      <c r="B15" s="46" t="n">
        <v>0.01441151880758561</v>
      </c>
    </row>
    <row r="16">
      <c r="A16" s="40" t="inlineStr">
        <is>
          <t>Auburn</t>
        </is>
      </c>
      <c r="B16" s="46" t="n">
        <v>4.600698120039239</v>
      </c>
    </row>
    <row r="17">
      <c r="A17" s="40" t="inlineStr">
        <is>
          <t>Austin Peay</t>
        </is>
      </c>
      <c r="B17" s="46" t="n">
        <v>0.7938986602440293</v>
      </c>
    </row>
    <row r="18">
      <c r="A18" s="40" t="inlineStr">
        <is>
          <t>Ball St</t>
        </is>
      </c>
      <c r="B18" s="46" t="n">
        <v>0.05402004473476851</v>
      </c>
    </row>
    <row r="19">
      <c r="A19" s="40" t="inlineStr">
        <is>
          <t>Baylor</t>
        </is>
      </c>
      <c r="B19" s="46" t="n">
        <v>22.81476764243929</v>
      </c>
    </row>
    <row r="20">
      <c r="A20" s="40" t="inlineStr">
        <is>
          <t>Belmont</t>
        </is>
      </c>
      <c r="B20" s="46" t="n">
        <v>1.573532205056001</v>
      </c>
    </row>
    <row r="21">
      <c r="A21" s="40" t="inlineStr">
        <is>
          <t>Binghamton</t>
        </is>
      </c>
      <c r="B21" s="46" t="n">
        <v>0.1342177280000001</v>
      </c>
    </row>
    <row r="22">
      <c r="A22" s="40" t="inlineStr">
        <is>
          <t>Boise St</t>
        </is>
      </c>
      <c r="B22" s="46" t="n">
        <v>0.1171123821084509</v>
      </c>
    </row>
    <row r="23">
      <c r="A23" s="40" t="inlineStr">
        <is>
          <t>Boston College</t>
        </is>
      </c>
      <c r="B23" s="46" t="n">
        <v>1.855692149547466</v>
      </c>
    </row>
    <row r="24">
      <c r="A24" s="40" t="inlineStr">
        <is>
          <t>Boston University</t>
        </is>
      </c>
      <c r="B24" s="46" t="n">
        <v>0.2502582910585894</v>
      </c>
    </row>
    <row r="25">
      <c r="A25" s="40" t="inlineStr">
        <is>
          <t>Bradley</t>
        </is>
      </c>
      <c r="B25" s="46" t="n">
        <v>0.6989805315293408</v>
      </c>
    </row>
    <row r="26">
      <c r="A26" s="40" t="inlineStr">
        <is>
          <t>Brown</t>
        </is>
      </c>
      <c r="B26" s="46" t="n">
        <v>0.0007922816251426461</v>
      </c>
    </row>
    <row r="27">
      <c r="A27" s="40" t="inlineStr">
        <is>
          <t>Bucknell</t>
        </is>
      </c>
      <c r="B27" s="46" t="n">
        <v>2.834713209579736</v>
      </c>
    </row>
    <row r="28">
      <c r="A28" s="40" t="inlineStr">
        <is>
          <t>Buffalo</t>
        </is>
      </c>
      <c r="B28" s="46" t="n">
        <v>5.152</v>
      </c>
    </row>
    <row r="29">
      <c r="A29" s="40" t="inlineStr">
        <is>
          <t>Butler</t>
        </is>
      </c>
      <c r="B29" s="46" t="n">
        <v>55.30592245582817</v>
      </c>
    </row>
    <row r="30">
      <c r="A30" s="40" t="inlineStr">
        <is>
          <t>BYU</t>
        </is>
      </c>
      <c r="B30" s="46" t="n">
        <v>3.910743377111404</v>
      </c>
    </row>
    <row r="31">
      <c r="A31" s="40" t="inlineStr">
        <is>
          <t>UC Irvine</t>
        </is>
      </c>
      <c r="B31" s="46" t="n">
        <v>0.5120000000000001</v>
      </c>
    </row>
    <row r="32">
      <c r="A32" s="40" t="inlineStr">
        <is>
          <t>Cal Poly</t>
        </is>
      </c>
      <c r="B32" s="46" t="n">
        <v>0.4096000000000002</v>
      </c>
    </row>
    <row r="33">
      <c r="A33" s="40" t="inlineStr">
        <is>
          <t>Cal St Bakersfield</t>
        </is>
      </c>
      <c r="B33" s="46" t="n">
        <v>0.6400000000000001</v>
      </c>
    </row>
    <row r="34">
      <c r="A34" s="40" t="inlineStr">
        <is>
          <t>Cal St Fullerton</t>
        </is>
      </c>
      <c r="B34" s="46" t="n">
        <v>1.1073741824</v>
      </c>
    </row>
    <row r="35">
      <c r="A35" s="40" t="inlineStr">
        <is>
          <t>Cal St Northridge</t>
        </is>
      </c>
      <c r="B35" s="46" t="n">
        <v>0.1567357261368526</v>
      </c>
    </row>
    <row r="36">
      <c r="A36" s="40" t="inlineStr">
        <is>
          <t>California</t>
        </is>
      </c>
      <c r="B36" s="46" t="n">
        <v>3.250442163501837</v>
      </c>
    </row>
    <row r="37">
      <c r="A37" s="40" t="inlineStr">
        <is>
          <t>Campbell</t>
        </is>
      </c>
      <c r="B37" s="46" t="n">
        <v>0.003022314549036581</v>
      </c>
    </row>
    <row r="38">
      <c r="A38" s="40" t="inlineStr">
        <is>
          <t>Canisius</t>
        </is>
      </c>
      <c r="B38" s="46" t="n">
        <v>0.007378697629483837</v>
      </c>
    </row>
    <row r="39">
      <c r="A39" s="40" t="inlineStr">
        <is>
          <t>Central Connecticut St</t>
        </is>
      </c>
      <c r="B39" s="46" t="n">
        <v>0.1320612421005478</v>
      </c>
    </row>
    <row r="40">
      <c r="A40" s="40" t="inlineStr">
        <is>
          <t>UCF</t>
        </is>
      </c>
      <c r="B40" s="46" t="n">
        <v>0.1110571106121936</v>
      </c>
    </row>
    <row r="41">
      <c r="A41" s="40" t="inlineStr">
        <is>
          <t>Central Michigan</t>
        </is>
      </c>
      <c r="B41" s="46" t="n">
        <v>0.1417278403867565</v>
      </c>
    </row>
    <row r="42">
      <c r="A42" s="40" t="inlineStr">
        <is>
          <t>Charleston Southern</t>
        </is>
      </c>
      <c r="B42" s="46" t="n">
        <v>0.009223372036854798</v>
      </c>
    </row>
    <row r="43">
      <c r="A43" s="40" t="inlineStr">
        <is>
          <t>Charlotte</t>
        </is>
      </c>
      <c r="B43" s="46" t="n">
        <v>0.3679951729722606</v>
      </c>
    </row>
    <row r="44">
      <c r="A44" s="40" t="inlineStr">
        <is>
          <t>Chattanooga</t>
        </is>
      </c>
      <c r="B44" s="46" t="n">
        <v>0.9370681875693861</v>
      </c>
    </row>
    <row r="45">
      <c r="A45" s="40" t="inlineStr">
        <is>
          <t>Cincinnati</t>
        </is>
      </c>
      <c r="B45" s="46" t="n">
        <v>15.479879013841</v>
      </c>
    </row>
    <row r="46">
      <c r="A46" s="40" t="inlineStr">
        <is>
          <t>Clemson</t>
        </is>
      </c>
      <c r="B46" s="46" t="n">
        <v>10.75674376878579</v>
      </c>
    </row>
    <row r="47">
      <c r="A47" s="40" t="inlineStr">
        <is>
          <t>Cleveland St</t>
        </is>
      </c>
      <c r="B47" s="46" t="n">
        <v>0.5447937282514269</v>
      </c>
    </row>
    <row r="48">
      <c r="A48" s="40" t="inlineStr">
        <is>
          <t>Coastal Carolina</t>
        </is>
      </c>
      <c r="B48" s="46" t="n">
        <v>0.9277957448255253</v>
      </c>
    </row>
    <row r="49">
      <c r="A49" s="40" t="inlineStr">
        <is>
          <t>Colgate</t>
        </is>
      </c>
      <c r="B49" s="46" t="n">
        <v>0.01328165573307091</v>
      </c>
    </row>
    <row r="50">
      <c r="A50" s="40" t="inlineStr">
        <is>
          <t>College of Charleston</t>
        </is>
      </c>
      <c r="B50" s="46" t="n">
        <v>1.067556588483943</v>
      </c>
    </row>
    <row r="51">
      <c r="A51" s="40" t="inlineStr">
        <is>
          <t>Colorado</t>
        </is>
      </c>
      <c r="B51" s="46" t="n">
        <v>2.497933860236253</v>
      </c>
    </row>
    <row r="52">
      <c r="A52" s="40" t="inlineStr">
        <is>
          <t>Colorado St</t>
        </is>
      </c>
      <c r="B52" s="46" t="n">
        <v>1.616172353596643</v>
      </c>
    </row>
    <row r="53">
      <c r="A53" s="40" t="inlineStr">
        <is>
          <t>Connecticut</t>
        </is>
      </c>
      <c r="B53" s="46" t="n">
        <v>97.85285633543862</v>
      </c>
    </row>
    <row r="54">
      <c r="A54" s="40" t="inlineStr">
        <is>
          <t>Coppin St</t>
        </is>
      </c>
      <c r="B54" s="46" t="n">
        <v>0.04260566264509833</v>
      </c>
    </row>
    <row r="55">
      <c r="A55" s="40" t="inlineStr">
        <is>
          <t>Cornell</t>
        </is>
      </c>
      <c r="B55" s="46" t="n">
        <v>1.920551450439287</v>
      </c>
    </row>
    <row r="56">
      <c r="A56" s="40" t="inlineStr">
        <is>
          <t>Creighton</t>
        </is>
      </c>
      <c r="B56" s="46" t="n">
        <v>6.195742593564598</v>
      </c>
    </row>
    <row r="57">
      <c r="A57" s="40" t="inlineStr">
        <is>
          <t>Davidson</t>
        </is>
      </c>
      <c r="B57" s="46" t="n">
        <v>4.65914382979828</v>
      </c>
    </row>
    <row r="58">
      <c r="A58" s="40" t="inlineStr">
        <is>
          <t>Dayton</t>
        </is>
      </c>
      <c r="B58" s="46" t="n">
        <v>13.14162109825501</v>
      </c>
    </row>
    <row r="59">
      <c r="A59" s="40" t="inlineStr">
        <is>
          <t>Delaware</t>
        </is>
      </c>
      <c r="B59" s="46" t="n">
        <v>0.4423409415889866</v>
      </c>
    </row>
    <row r="60">
      <c r="A60" s="40" t="inlineStr">
        <is>
          <t>Delaware St</t>
        </is>
      </c>
      <c r="B60" s="46" t="n">
        <v>0.05497558138880008</v>
      </c>
    </row>
    <row r="61">
      <c r="A61" s="40" t="inlineStr">
        <is>
          <t>DePaul</t>
        </is>
      </c>
      <c r="B61" s="46" t="n">
        <v>0.2289780473613002</v>
      </c>
    </row>
    <row r="62">
      <c r="A62" s="40" t="inlineStr">
        <is>
          <t>Detroit</t>
        </is>
      </c>
      <c r="B62" s="46" t="n">
        <v>0.3659069354146166</v>
      </c>
    </row>
    <row r="63">
      <c r="A63" s="40" t="inlineStr">
        <is>
          <t>Drake</t>
        </is>
      </c>
      <c r="B63" s="46" t="n">
        <v>0.1073741824000001</v>
      </c>
    </row>
    <row r="64">
      <c r="A64" s="40" t="inlineStr">
        <is>
          <t>Drexel</t>
        </is>
      </c>
      <c r="B64" s="46" t="n">
        <v>0.04093239672953472</v>
      </c>
    </row>
    <row r="65">
      <c r="A65" s="40" t="inlineStr">
        <is>
          <t>Duke</t>
        </is>
      </c>
      <c r="B65" s="46" t="n">
        <v>139.1914391179872</v>
      </c>
    </row>
    <row r="66">
      <c r="A66" s="40" t="inlineStr">
        <is>
          <t>East Carolina</t>
        </is>
      </c>
      <c r="B66" s="46" t="n">
        <v>0.003777893186295726</v>
      </c>
    </row>
    <row r="67">
      <c r="A67" s="40" t="inlineStr">
        <is>
          <t>East Tennessee St</t>
        </is>
      </c>
      <c r="B67" s="46" t="n">
        <v>1.199143541395738</v>
      </c>
    </row>
    <row r="68">
      <c r="A68" s="40" t="inlineStr">
        <is>
          <t>Eastern Illinois</t>
        </is>
      </c>
      <c r="B68" s="46" t="n">
        <v>0.0255403126858891</v>
      </c>
    </row>
    <row r="69">
      <c r="A69" s="40" t="inlineStr">
        <is>
          <t>Eastern Kentucky</t>
        </is>
      </c>
      <c r="B69" s="46" t="n">
        <v>0.5504749273088003</v>
      </c>
    </row>
    <row r="70">
      <c r="A70" s="40" t="inlineStr">
        <is>
          <t>Eastern Michigan</t>
        </is>
      </c>
      <c r="B70" s="46" t="n">
        <v>0.06646046199558188</v>
      </c>
    </row>
    <row r="71">
      <c r="A71" s="40" t="inlineStr">
        <is>
          <t>Eastern Washington</t>
        </is>
      </c>
      <c r="B71" s="46" t="n">
        <v>0.5559804651110402</v>
      </c>
    </row>
    <row r="72">
      <c r="A72" s="40" t="inlineStr">
        <is>
          <t>Evansville</t>
        </is>
      </c>
      <c r="B72" s="46" t="n">
        <v>0.02740142673934484</v>
      </c>
    </row>
    <row r="73">
      <c r="A73" s="40" t="inlineStr">
        <is>
          <t>Fairfield</t>
        </is>
      </c>
      <c r="B73" s="46" t="n">
        <v>0.01100600569342575</v>
      </c>
    </row>
    <row r="74">
      <c r="A74" s="40" t="inlineStr">
        <is>
          <t>Fairleigh Dickinson</t>
        </is>
      </c>
      <c r="B74" s="46" t="n">
        <v>0.06837656177426807</v>
      </c>
    </row>
    <row r="75">
      <c r="A75" s="40" t="inlineStr">
        <is>
          <t>Florida</t>
        </is>
      </c>
      <c r="B75" s="46" t="n">
        <v>80.28104915369937</v>
      </c>
    </row>
    <row r="76">
      <c r="A76" s="40" t="inlineStr">
        <is>
          <t>Florida A&amp;M</t>
        </is>
      </c>
      <c r="B76" s="46" t="n">
        <v>0.05839198391862568</v>
      </c>
    </row>
    <row r="77">
      <c r="A77" s="40" t="inlineStr">
        <is>
          <t>Florida Atlantic</t>
        </is>
      </c>
      <c r="B77" s="46" t="n">
        <v>0.02814749767106565</v>
      </c>
    </row>
    <row r="78">
      <c r="A78" s="40" t="inlineStr">
        <is>
          <t>Florida Gulf Coast</t>
        </is>
      </c>
      <c r="B78" s="46" t="n">
        <v>4.716800000000002</v>
      </c>
    </row>
    <row r="79">
      <c r="A79" s="40" t="inlineStr">
        <is>
          <t>Florida International</t>
        </is>
      </c>
      <c r="B79" s="46" t="n">
        <v>0.005902958103587071</v>
      </c>
    </row>
    <row r="80">
      <c r="A80" s="40" t="inlineStr">
        <is>
          <t>Florida State</t>
        </is>
      </c>
      <c r="B80" s="46" t="n">
        <v>28.81962831541846</v>
      </c>
    </row>
    <row r="81">
      <c r="A81" s="40" t="inlineStr">
        <is>
          <t>Fordham</t>
        </is>
      </c>
      <c r="B81" s="46" t="n">
        <v>0.003022314549036581</v>
      </c>
    </row>
    <row r="82">
      <c r="A82" s="40" t="inlineStr">
        <is>
          <t>Fresno St</t>
        </is>
      </c>
      <c r="B82" s="46" t="n">
        <v>0.7480863910568922</v>
      </c>
    </row>
    <row r="83">
      <c r="A83" s="40" t="inlineStr">
        <is>
          <t>George Mason</t>
        </is>
      </c>
      <c r="B83" s="46" t="n">
        <v>4.14580785424955</v>
      </c>
    </row>
    <row r="84">
      <c r="A84" s="40" t="inlineStr">
        <is>
          <t>George Washington</t>
        </is>
      </c>
      <c r="B84" s="46" t="n">
        <v>0.9153406635303746</v>
      </c>
    </row>
    <row r="85">
      <c r="A85" s="40" t="inlineStr">
        <is>
          <t>Georgetown</t>
        </is>
      </c>
      <c r="B85" s="46" t="n">
        <v>9.497487868140187</v>
      </c>
    </row>
    <row r="86">
      <c r="A86" s="40" t="inlineStr">
        <is>
          <t>Georgia</t>
        </is>
      </c>
      <c r="B86" s="46" t="n">
        <v>1.055085505735306</v>
      </c>
    </row>
    <row r="87">
      <c r="A87" s="40" t="inlineStr">
        <is>
          <t>Georgia Southern</t>
        </is>
      </c>
      <c r="B87" s="46" t="n">
        <v>0.004012666580464889</v>
      </c>
    </row>
    <row r="88">
      <c r="A88" s="40" t="inlineStr">
        <is>
          <t>Georgia State</t>
        </is>
      </c>
      <c r="B88" s="46" t="n">
        <v>3.14048984418664</v>
      </c>
    </row>
    <row r="89">
      <c r="A89" s="40" t="inlineStr">
        <is>
          <t>Georgia Tech</t>
        </is>
      </c>
      <c r="B89" s="46" t="n">
        <v>5.369364901993486</v>
      </c>
    </row>
    <row r="90">
      <c r="A90" s="40" t="inlineStr">
        <is>
          <t>Gonzaga</t>
        </is>
      </c>
      <c r="B90" s="46" t="n">
        <v>111.8872805260396</v>
      </c>
    </row>
    <row r="91">
      <c r="A91" s="40" t="inlineStr">
        <is>
          <t>Hampton</t>
        </is>
      </c>
      <c r="B91" s="46" t="n">
        <v>1.479934690218476</v>
      </c>
    </row>
    <row r="92">
      <c r="A92" s="40" t="inlineStr">
        <is>
          <t>Harvard</t>
        </is>
      </c>
      <c r="B92" s="46" t="n">
        <v>3.723264000000002</v>
      </c>
    </row>
    <row r="93">
      <c r="A93" s="40" t="inlineStr">
        <is>
          <t>Hawaii</t>
        </is>
      </c>
      <c r="B93" s="46" t="n">
        <v>2.615387862290788</v>
      </c>
    </row>
    <row r="94">
      <c r="A94" s="40" t="inlineStr">
        <is>
          <t>Hofstra</t>
        </is>
      </c>
      <c r="B94" s="46" t="n">
        <v>0.04053239664633454</v>
      </c>
    </row>
    <row r="95">
      <c r="A95" s="40" t="inlineStr">
        <is>
          <t>Holy Cross</t>
        </is>
      </c>
      <c r="B95" s="46" t="n">
        <v>0.8155271070030462</v>
      </c>
    </row>
    <row r="96">
      <c r="A96" s="40" t="inlineStr">
        <is>
          <t>Houston</t>
        </is>
      </c>
      <c r="B96" s="46" t="n">
        <v>4.173719107891849</v>
      </c>
    </row>
    <row r="97">
      <c r="A97" s="40" t="inlineStr">
        <is>
          <t>Howard</t>
        </is>
      </c>
      <c r="B97" s="46" t="n">
        <v>0.003022314549036581</v>
      </c>
    </row>
    <row r="98">
      <c r="A98" s="40" t="inlineStr">
        <is>
          <t>Idaho</t>
        </is>
      </c>
      <c r="B98" s="46" t="n">
        <v>0.003481706360490143</v>
      </c>
    </row>
    <row r="99">
      <c r="A99" s="40" t="inlineStr">
        <is>
          <t>Idaho St</t>
        </is>
      </c>
      <c r="B99" s="46" t="n">
        <v>0.0009903520314283076</v>
      </c>
    </row>
    <row r="100">
      <c r="A100" s="40" t="inlineStr">
        <is>
          <t>Illinois</t>
        </is>
      </c>
      <c r="B100" s="46" t="n">
        <v>9.439063671560184</v>
      </c>
    </row>
    <row r="101">
      <c r="A101" s="40" t="inlineStr">
        <is>
          <t>Illinois Chicago</t>
        </is>
      </c>
      <c r="B101" s="46" t="n">
        <v>0.08365717782817421</v>
      </c>
    </row>
    <row r="102">
      <c r="A102" s="40" t="inlineStr">
        <is>
          <t>Illinois St</t>
        </is>
      </c>
      <c r="B102" s="46" t="n">
        <v>0.05980981473296866</v>
      </c>
    </row>
    <row r="103">
      <c r="A103" s="40" t="inlineStr">
        <is>
          <t>Indiana</t>
        </is>
      </c>
      <c r="B103" s="46" t="n">
        <v>16.92725751229241</v>
      </c>
    </row>
    <row r="104">
      <c r="A104" s="40" t="inlineStr">
        <is>
          <t>Indiana St</t>
        </is>
      </c>
      <c r="B104" s="46" t="n">
        <v>0.3178015910568923</v>
      </c>
    </row>
    <row r="105">
      <c r="A105" s="40" t="inlineStr">
        <is>
          <t>Iona</t>
        </is>
      </c>
      <c r="B105" s="46" t="n">
        <v>2.889094913728518</v>
      </c>
    </row>
    <row r="106">
      <c r="A106" s="40" t="inlineStr">
        <is>
          <t>Iowa</t>
        </is>
      </c>
      <c r="B106" s="46" t="n">
        <v>5.110945707117629</v>
      </c>
    </row>
    <row r="107">
      <c r="A107" s="40" t="inlineStr">
        <is>
          <t>Iowa State</t>
        </is>
      </c>
      <c r="B107" s="46" t="n">
        <v>17.37860259222387</v>
      </c>
    </row>
    <row r="108">
      <c r="A108" s="40" t="inlineStr">
        <is>
          <t>IUPUI</t>
        </is>
      </c>
      <c r="B108" s="46" t="n">
        <v>0.03518437208883206</v>
      </c>
    </row>
    <row r="109">
      <c r="A109" s="40" t="inlineStr">
        <is>
          <t>Jackson St</t>
        </is>
      </c>
      <c r="B109" s="46" t="n">
        <v>0.1131371164663369</v>
      </c>
    </row>
    <row r="110">
      <c r="A110" s="40" t="inlineStr">
        <is>
          <t>Jacksonville</t>
        </is>
      </c>
      <c r="B110" s="46" t="n">
        <v>0.0007922816251426461</v>
      </c>
    </row>
    <row r="111">
      <c r="A111" s="40" t="inlineStr">
        <is>
          <t>Jacksonville St</t>
        </is>
      </c>
      <c r="B111" s="46" t="n">
        <v>0.8</v>
      </c>
    </row>
    <row r="112">
      <c r="A112" s="40" t="inlineStr">
        <is>
          <t>James Madison</t>
        </is>
      </c>
      <c r="B112" s="46" t="n">
        <v>0.3324023664828699</v>
      </c>
    </row>
    <row r="113">
      <c r="A113" s="40" t="inlineStr">
        <is>
          <t>Kansas</t>
        </is>
      </c>
      <c r="B113" s="46" t="n">
        <v>138.4116206426499</v>
      </c>
    </row>
    <row r="114">
      <c r="A114" s="40" t="inlineStr">
        <is>
          <t>Kansas State</t>
        </is>
      </c>
      <c r="B114" s="46" t="n">
        <v>29.59103543576627</v>
      </c>
    </row>
    <row r="115">
      <c r="A115" s="40" t="inlineStr">
        <is>
          <t>Kent St</t>
        </is>
      </c>
      <c r="B115" s="46" t="n">
        <v>1.69982211925444</v>
      </c>
    </row>
    <row r="116">
      <c r="A116" s="40" t="inlineStr">
        <is>
          <t>Kentucky</t>
        </is>
      </c>
      <c r="B116" s="46" t="n">
        <v>146.0390477164814</v>
      </c>
    </row>
    <row r="117">
      <c r="A117" s="40" t="inlineStr">
        <is>
          <t>La Salle</t>
        </is>
      </c>
      <c r="B117" s="46" t="n">
        <v>3.290344804882964</v>
      </c>
    </row>
    <row r="118">
      <c r="A118" s="40" t="inlineStr">
        <is>
          <t>Lafayette</t>
        </is>
      </c>
      <c r="B118" s="46" t="n">
        <v>0.5444259173170678</v>
      </c>
    </row>
    <row r="119">
      <c r="A119" s="40" t="inlineStr">
        <is>
          <t>Lamar</t>
        </is>
      </c>
      <c r="B119" s="46" t="n">
        <v>0.01801439850948202</v>
      </c>
    </row>
    <row r="120">
      <c r="A120" s="40" t="inlineStr">
        <is>
          <t>Lehigh</t>
        </is>
      </c>
      <c r="B120" s="46" t="n">
        <v>1.2182199253394</v>
      </c>
    </row>
    <row r="121">
      <c r="A121" s="40" t="inlineStr">
        <is>
          <t>Liberty</t>
        </is>
      </c>
      <c r="B121" s="46" t="n">
        <v>0.04870283159390972</v>
      </c>
    </row>
    <row r="122">
      <c r="A122" s="40" t="inlineStr">
        <is>
          <t>Lipscomb</t>
        </is>
      </c>
      <c r="B122" s="46" t="n">
        <v>1</v>
      </c>
    </row>
    <row r="123">
      <c r="A123" s="40" t="inlineStr">
        <is>
          <t>Long Beach St</t>
        </is>
      </c>
      <c r="B123" s="46" t="n">
        <v>0.357724197209883</v>
      </c>
    </row>
    <row r="124">
      <c r="A124" s="40" t="inlineStr">
        <is>
          <t>Long Island Brooklyn</t>
        </is>
      </c>
      <c r="B124" s="46" t="n">
        <v>0.4810825720368551</v>
      </c>
    </row>
    <row r="125">
      <c r="A125" s="40" t="inlineStr">
        <is>
          <t>Louisiana Lafayette</t>
        </is>
      </c>
      <c r="B125" s="46" t="n">
        <v>0.5433820696883384</v>
      </c>
    </row>
    <row r="126">
      <c r="A126" s="40" t="inlineStr">
        <is>
          <t>Louisiana Monroe</t>
        </is>
      </c>
      <c r="B126" s="46" t="n">
        <v>0.01932331994057147</v>
      </c>
    </row>
    <row r="127">
      <c r="A127" s="40" t="inlineStr">
        <is>
          <t>Louisiana Tech</t>
        </is>
      </c>
      <c r="B127" s="46" t="n">
        <v>0.01593615686822566</v>
      </c>
    </row>
    <row r="128">
      <c r="A128" s="40" t="inlineStr">
        <is>
          <t>Louisville</t>
        </is>
      </c>
      <c r="B128" s="46" t="n">
        <v>81.20354562214273</v>
      </c>
    </row>
    <row r="129">
      <c r="A129" s="40" t="inlineStr">
        <is>
          <t>Loyola Chicago</t>
        </is>
      </c>
      <c r="B129" s="46" t="n">
        <v>46</v>
      </c>
    </row>
    <row r="130">
      <c r="A130" s="40" t="inlineStr">
        <is>
          <t>Loyola Illinois</t>
        </is>
      </c>
      <c r="B130" s="46" t="n">
        <v>0.006338253001141169</v>
      </c>
    </row>
    <row r="131">
      <c r="A131" s="40" t="inlineStr">
        <is>
          <t>Loyola Maryland</t>
        </is>
      </c>
      <c r="B131" s="46" t="n">
        <v>0.2668663664828698</v>
      </c>
    </row>
    <row r="132">
      <c r="A132" s="40" t="inlineStr">
        <is>
          <t>Loyola Marymount</t>
        </is>
      </c>
      <c r="B132" s="46" t="n">
        <v>0.04905337405668334</v>
      </c>
    </row>
    <row r="133">
      <c r="A133" s="40" t="inlineStr">
        <is>
          <t>LSU</t>
        </is>
      </c>
      <c r="B133" s="46" t="n">
        <v>4.567944798532153</v>
      </c>
    </row>
    <row r="134">
      <c r="A134" s="40" t="inlineStr">
        <is>
          <t>Manhattan</t>
        </is>
      </c>
      <c r="B134" s="46" t="n">
        <v>0.6480959581336365</v>
      </c>
    </row>
    <row r="135">
      <c r="A135" s="40" t="inlineStr">
        <is>
          <t>Marist</t>
        </is>
      </c>
      <c r="B135" s="46" t="n">
        <v>0.001782633656570954</v>
      </c>
    </row>
    <row r="136">
      <c r="A136" s="40" t="inlineStr">
        <is>
          <t>Marquette</t>
        </is>
      </c>
      <c r="B136" s="46" t="n">
        <v>15.75267895858313</v>
      </c>
    </row>
    <row r="137">
      <c r="A137" s="40" t="inlineStr">
        <is>
          <t>Marshall</t>
        </is>
      </c>
      <c r="B137" s="46" t="n">
        <v>4.001624177331543</v>
      </c>
    </row>
    <row r="138">
      <c r="A138" s="40" t="inlineStr">
        <is>
          <t>Maryland</t>
        </is>
      </c>
      <c r="B138" s="46" t="n">
        <v>16.3785145256262</v>
      </c>
    </row>
    <row r="139">
      <c r="A139" s="40" t="inlineStr">
        <is>
          <t>Massachusetts</t>
        </is>
      </c>
      <c r="B139" s="46" t="n">
        <v>0.9638619404851229</v>
      </c>
    </row>
    <row r="140">
      <c r="A140" s="40" t="inlineStr">
        <is>
          <t>McNeese St</t>
        </is>
      </c>
      <c r="B140" s="46" t="n">
        <v>0.02969492272017238</v>
      </c>
    </row>
    <row r="141">
      <c r="A141" s="40" t="inlineStr">
        <is>
          <t>Memphis</t>
        </is>
      </c>
      <c r="B141" s="46" t="n">
        <v>18.64455132400753</v>
      </c>
    </row>
    <row r="142">
      <c r="A142" s="40" t="inlineStr">
        <is>
          <t>Mercer</t>
        </is>
      </c>
      <c r="B142" s="46" t="n">
        <v>1.639033825300115</v>
      </c>
    </row>
    <row r="143">
      <c r="A143" s="40" t="inlineStr">
        <is>
          <t>Miami</t>
        </is>
      </c>
      <c r="B143" s="46" t="n">
        <v>12.1837635026423</v>
      </c>
    </row>
    <row r="144">
      <c r="A144" s="40" t="inlineStr">
        <is>
          <t>Miami Ohio</t>
        </is>
      </c>
      <c r="B144" s="46" t="n">
        <v>0.2672981599213527</v>
      </c>
    </row>
    <row r="145">
      <c r="A145" s="40" t="inlineStr">
        <is>
          <t>Michigan</t>
        </is>
      </c>
      <c r="B145" s="46" t="n">
        <v>145.1182637353143</v>
      </c>
    </row>
    <row r="146">
      <c r="A146" s="40" t="inlineStr">
        <is>
          <t>Michigan State</t>
        </is>
      </c>
      <c r="B146" s="46" t="n">
        <v>75.86457725459033</v>
      </c>
    </row>
    <row r="147">
      <c r="A147" s="40" t="inlineStr">
        <is>
          <t>Middle Tennessee St</t>
        </is>
      </c>
      <c r="B147" s="46" t="n">
        <v>5.767813877527971</v>
      </c>
    </row>
    <row r="148">
      <c r="A148" s="40" t="inlineStr">
        <is>
          <t>Minnesota</t>
        </is>
      </c>
      <c r="B148" s="46" t="n">
        <v>2.989192965268275</v>
      </c>
    </row>
    <row r="149">
      <c r="A149" s="40" t="inlineStr">
        <is>
          <t>Mississippi State</t>
        </is>
      </c>
      <c r="B149" s="46" t="n">
        <v>1.508180530003812</v>
      </c>
    </row>
    <row r="150">
      <c r="A150" s="40" t="inlineStr">
        <is>
          <t>Mississippi Valley St</t>
        </is>
      </c>
      <c r="B150" s="46" t="n">
        <v>0.1185674762036632</v>
      </c>
    </row>
    <row r="151">
      <c r="A151" s="40" t="inlineStr">
        <is>
          <t>Missouri</t>
        </is>
      </c>
      <c r="B151" s="46" t="n">
        <v>6.469698354901483</v>
      </c>
    </row>
    <row r="152">
      <c r="A152" s="40" t="inlineStr">
        <is>
          <t>Monmouth</t>
        </is>
      </c>
      <c r="B152" s="46" t="n">
        <v>0.1425966376133765</v>
      </c>
    </row>
    <row r="153">
      <c r="A153" s="40" t="inlineStr">
        <is>
          <t>Montana</t>
        </is>
      </c>
      <c r="B153" s="46" t="n">
        <v>2.130260684228987</v>
      </c>
    </row>
    <row r="154">
      <c r="A154" s="40" t="inlineStr">
        <is>
          <t>Montana St</t>
        </is>
      </c>
      <c r="B154" s="46" t="n">
        <v>0.008170979254626483</v>
      </c>
    </row>
    <row r="155">
      <c r="A155" s="40" t="inlineStr">
        <is>
          <t>Morehead St</t>
        </is>
      </c>
      <c r="B155" s="46" t="n">
        <v>0.9730785280000007</v>
      </c>
    </row>
    <row r="156">
      <c r="A156" s="40" t="inlineStr">
        <is>
          <t>Morgan St</t>
        </is>
      </c>
      <c r="B156" s="46" t="n">
        <v>0.3019898880000003</v>
      </c>
    </row>
    <row r="157">
      <c r="A157" s="40" t="inlineStr">
        <is>
          <t>Mount St Marys</t>
        </is>
      </c>
      <c r="B157" s="46" t="n">
        <v>0.9276886593111728</v>
      </c>
    </row>
    <row r="158">
      <c r="A158" s="40" t="inlineStr">
        <is>
          <t>Murray State</t>
        </is>
      </c>
      <c r="B158" s="46" t="n">
        <v>2.913905351168994</v>
      </c>
    </row>
    <row r="159">
      <c r="A159" s="40" t="inlineStr">
        <is>
          <t>Navy</t>
        </is>
      </c>
      <c r="B159" s="46" t="n">
        <v>0.04643080255081594</v>
      </c>
    </row>
    <row r="160">
      <c r="A160" s="40" t="inlineStr">
        <is>
          <t>NC State</t>
        </is>
      </c>
      <c r="B160" s="46" t="n">
        <v>10.68579824552361</v>
      </c>
    </row>
    <row r="161">
      <c r="A161" s="40" t="inlineStr">
        <is>
          <t>Nebraska</t>
        </is>
      </c>
      <c r="B161" s="46" t="n">
        <v>0.4358619225286425</v>
      </c>
    </row>
    <row r="162">
      <c r="A162" s="40" t="inlineStr">
        <is>
          <t>Nevada</t>
        </is>
      </c>
      <c r="B162" s="46" t="n">
        <v>11.87265766238172</v>
      </c>
    </row>
    <row r="163">
      <c r="A163" s="40" t="inlineStr">
        <is>
          <t>New Mexico</t>
        </is>
      </c>
      <c r="B163" s="46" t="n">
        <v>2.693009546777168</v>
      </c>
    </row>
    <row r="164">
      <c r="A164" s="40" t="inlineStr">
        <is>
          <t>New Mexico State</t>
        </is>
      </c>
      <c r="B164" s="46" t="n">
        <v>3.633916242396618</v>
      </c>
    </row>
    <row r="165">
      <c r="A165" s="40" t="inlineStr">
        <is>
          <t>New Orleans</t>
        </is>
      </c>
      <c r="B165" s="46" t="n">
        <v>0.01753585058072206</v>
      </c>
    </row>
    <row r="166">
      <c r="A166" s="40" t="inlineStr">
        <is>
          <t>Niagara</t>
        </is>
      </c>
      <c r="B166" s="46" t="n">
        <v>0.1408749273088002</v>
      </c>
    </row>
    <row r="167">
      <c r="A167" s="40" t="inlineStr">
        <is>
          <t>Nicholls St</t>
        </is>
      </c>
      <c r="B167" s="46" t="n">
        <v>0.01743217314965557</v>
      </c>
    </row>
    <row r="168">
      <c r="A168" s="40" t="inlineStr">
        <is>
          <t>Norfolk St</t>
        </is>
      </c>
      <c r="B168" s="46" t="n">
        <v>1.048576000000001</v>
      </c>
    </row>
    <row r="169">
      <c r="A169" s="40" t="inlineStr">
        <is>
          <t>North Carolina</t>
        </is>
      </c>
      <c r="B169" s="46" t="n">
        <v>217.4590476532198</v>
      </c>
    </row>
    <row r="170">
      <c r="A170" s="40" t="inlineStr">
        <is>
          <t>North Carolina A&amp;T</t>
        </is>
      </c>
      <c r="B170" s="46" t="n">
        <v>0.3419597235824274</v>
      </c>
    </row>
    <row r="171">
      <c r="A171" s="40" t="inlineStr">
        <is>
          <t>North Carolina Central</t>
        </is>
      </c>
      <c r="B171" s="46" t="n">
        <v>0.4096000000000002</v>
      </c>
    </row>
    <row r="172">
      <c r="A172" s="40" t="inlineStr">
        <is>
          <t>North Dakota</t>
        </is>
      </c>
      <c r="B172" s="46" t="n">
        <v>0.8</v>
      </c>
    </row>
    <row r="173">
      <c r="A173" s="40" t="inlineStr">
        <is>
          <t>North Dakota State</t>
        </is>
      </c>
      <c r="B173" s="46" t="n">
        <v>2.284617728000001</v>
      </c>
    </row>
    <row r="174">
      <c r="A174" s="40" t="inlineStr">
        <is>
          <t>North Texas</t>
        </is>
      </c>
      <c r="B174" s="46" t="n">
        <v>0.2536715059200002</v>
      </c>
    </row>
    <row r="175">
      <c r="A175" s="40" t="inlineStr">
        <is>
          <t>North Texas St</t>
        </is>
      </c>
      <c r="B175" s="46" t="n">
        <v>0.001237940039285384</v>
      </c>
    </row>
    <row r="176">
      <c r="A176" s="40" t="inlineStr">
        <is>
          <t>Northeastern</t>
        </is>
      </c>
      <c r="B176" s="46" t="n">
        <v>0.5168343105959144</v>
      </c>
    </row>
    <row r="177">
      <c r="A177" s="40" t="inlineStr">
        <is>
          <t>Northern Arizona</t>
        </is>
      </c>
      <c r="B177" s="46" t="n">
        <v>0.02954361355555051</v>
      </c>
    </row>
    <row r="178">
      <c r="A178" s="40" t="inlineStr">
        <is>
          <t>Northern Colorado</t>
        </is>
      </c>
      <c r="B178" s="46" t="n">
        <v>0.2097152000000002</v>
      </c>
    </row>
    <row r="179">
      <c r="A179" s="40" t="inlineStr">
        <is>
          <t>Northern Illinois</t>
        </is>
      </c>
      <c r="B179" s="46" t="n">
        <v>0.009796549268713102</v>
      </c>
    </row>
    <row r="180">
      <c r="A180" s="40" t="inlineStr">
        <is>
          <t>Northern Iowa</t>
        </is>
      </c>
      <c r="B180" s="46" t="n">
        <v>6.595351976481377</v>
      </c>
    </row>
    <row r="181">
      <c r="A181" s="40" t="inlineStr">
        <is>
          <t>Northern Kentucky</t>
        </is>
      </c>
      <c r="B181" s="46" t="n">
        <v>0.8</v>
      </c>
    </row>
    <row r="182">
      <c r="A182" s="40" t="inlineStr">
        <is>
          <t>Northwestern</t>
        </is>
      </c>
      <c r="B182" s="46" t="n">
        <v>3.2</v>
      </c>
    </row>
    <row r="183">
      <c r="A183" s="40" t="inlineStr">
        <is>
          <t>Northwestern St</t>
        </is>
      </c>
      <c r="B183" s="46" t="n">
        <v>0.6250759050808531</v>
      </c>
    </row>
    <row r="184">
      <c r="A184" s="40" t="inlineStr">
        <is>
          <t>Notre Dame</t>
        </is>
      </c>
      <c r="B184" s="46" t="n">
        <v>31.23295176432698</v>
      </c>
    </row>
    <row r="185">
      <c r="A185" s="40" t="inlineStr">
        <is>
          <t>Oakland</t>
        </is>
      </c>
      <c r="B185" s="46" t="n">
        <v>0.4324629413888004</v>
      </c>
    </row>
    <row r="186">
      <c r="A186" s="40" t="inlineStr">
        <is>
          <t>Ohio</t>
        </is>
      </c>
      <c r="B186" s="46" t="n">
        <v>3.352860413171786</v>
      </c>
    </row>
    <row r="187">
      <c r="A187" s="40" t="inlineStr">
        <is>
          <t>Ohio State</t>
        </is>
      </c>
      <c r="B187" s="46" t="n">
        <v>38.95869047047481</v>
      </c>
    </row>
    <row r="188">
      <c r="A188" s="40" t="inlineStr">
        <is>
          <t>Oklahoma</t>
        </is>
      </c>
      <c r="B188" s="46" t="n">
        <v>42.47937150717699</v>
      </c>
    </row>
    <row r="189">
      <c r="A189" s="40" t="inlineStr">
        <is>
          <t>Oklahoma St</t>
        </is>
      </c>
      <c r="B189" s="46" t="n">
        <v>6.378201741106637</v>
      </c>
    </row>
    <row r="190">
      <c r="A190" s="40" t="inlineStr">
        <is>
          <t>Old Dominion</t>
        </is>
      </c>
      <c r="B190" s="46" t="n">
        <v>1.061339238109725</v>
      </c>
    </row>
    <row r="191">
      <c r="A191" s="40" t="inlineStr">
        <is>
          <t>Ole Miss</t>
        </is>
      </c>
      <c r="B191" s="46" t="n">
        <v>2.154446141352858</v>
      </c>
    </row>
    <row r="192">
      <c r="A192" s="40" t="inlineStr">
        <is>
          <t>Oral Roberts</t>
        </is>
      </c>
      <c r="B192" s="46" t="n">
        <v>0.2619930050560003</v>
      </c>
    </row>
    <row r="193">
      <c r="A193" s="40" t="inlineStr">
        <is>
          <t>Oregon</t>
        </is>
      </c>
      <c r="B193" s="46" t="n">
        <v>60.51870647010536</v>
      </c>
    </row>
    <row r="194">
      <c r="A194" s="40" t="inlineStr">
        <is>
          <t>Oregon St</t>
        </is>
      </c>
      <c r="B194" s="46" t="n">
        <v>0.6453534716998898</v>
      </c>
    </row>
    <row r="195">
      <c r="A195" s="40" t="inlineStr">
        <is>
          <t>Pacific</t>
        </is>
      </c>
      <c r="B195" s="46" t="n">
        <v>0.8014470347722157</v>
      </c>
    </row>
    <row r="196">
      <c r="A196" s="40" t="inlineStr">
        <is>
          <t>Penn St</t>
        </is>
      </c>
      <c r="B196" s="46" t="n">
        <v>0.4519452855549262</v>
      </c>
    </row>
    <row r="197">
      <c r="A197" s="40" t="inlineStr">
        <is>
          <t>Pennsylvania</t>
        </is>
      </c>
      <c r="B197" s="46" t="n">
        <v>1.335546685674669</v>
      </c>
    </row>
    <row r="198">
      <c r="A198" s="40" t="inlineStr">
        <is>
          <t>Pepperdine</t>
        </is>
      </c>
      <c r="B198" s="46" t="n">
        <v>0.111793731305386</v>
      </c>
    </row>
    <row r="199">
      <c r="A199" s="40" t="inlineStr">
        <is>
          <t>Pittsburgh</t>
        </is>
      </c>
      <c r="B199" s="46" t="n">
        <v>9.784830200217474</v>
      </c>
    </row>
    <row r="200">
      <c r="A200" s="40" t="inlineStr">
        <is>
          <t>Portland</t>
        </is>
      </c>
      <c r="B200" s="46" t="n">
        <v>0.007378697629483837</v>
      </c>
    </row>
    <row r="201">
      <c r="A201" s="40" t="inlineStr">
        <is>
          <t>Portland St</t>
        </is>
      </c>
      <c r="B201" s="46" t="n">
        <v>0.2415919104000002</v>
      </c>
    </row>
    <row r="202">
      <c r="A202" s="40" t="inlineStr">
        <is>
          <t>Prairie View A&amp;M</t>
        </is>
      </c>
      <c r="B202" s="46" t="n">
        <v>0.0115292150460685</v>
      </c>
    </row>
    <row r="203">
      <c r="A203" s="40" t="inlineStr">
        <is>
          <t>Princeton</t>
        </is>
      </c>
      <c r="B203" s="46" t="n">
        <v>1.169990558535713</v>
      </c>
    </row>
    <row r="204">
      <c r="A204" s="40" t="inlineStr">
        <is>
          <t>Providence</t>
        </is>
      </c>
      <c r="B204" s="46" t="n">
        <v>4.804772914347761</v>
      </c>
    </row>
    <row r="205">
      <c r="A205" s="40" t="inlineStr">
        <is>
          <t>Purdue</t>
        </is>
      </c>
      <c r="B205" s="46" t="n">
        <v>25.8545033465982</v>
      </c>
    </row>
    <row r="206">
      <c r="A206" s="40" t="inlineStr">
        <is>
          <t>Radford</t>
        </is>
      </c>
      <c r="B206" s="46" t="n">
        <v>1.145746943046069</v>
      </c>
    </row>
    <row r="207">
      <c r="A207" s="40" t="inlineStr">
        <is>
          <t>Rhode Island</t>
        </is>
      </c>
      <c r="B207" s="46" t="n">
        <v>7.504768594995984</v>
      </c>
    </row>
    <row r="208">
      <c r="A208" s="40" t="inlineStr">
        <is>
          <t>Richmond</t>
        </is>
      </c>
      <c r="B208" s="46" t="n">
        <v>2.379798855181613</v>
      </c>
    </row>
    <row r="209">
      <c r="A209" s="40" t="inlineStr">
        <is>
          <t>Rider</t>
        </is>
      </c>
      <c r="B209" s="46" t="n">
        <v>0.008500259669165382</v>
      </c>
    </row>
    <row r="210">
      <c r="A210" s="40" t="inlineStr">
        <is>
          <t>Robert Morris</t>
        </is>
      </c>
      <c r="B210" s="46" t="n">
        <v>0.8204939089095271</v>
      </c>
    </row>
    <row r="211">
      <c r="A211" s="40" t="inlineStr">
        <is>
          <t>Rutgers</t>
        </is>
      </c>
      <c r="B211" s="46" t="n">
        <v>0.003965276688335995</v>
      </c>
    </row>
    <row r="212">
      <c r="A212" s="40" t="inlineStr">
        <is>
          <t>Sam Houston St</t>
        </is>
      </c>
      <c r="B212" s="46" t="n">
        <v>0.2029565320888322</v>
      </c>
    </row>
    <row r="213">
      <c r="A213" s="40" t="inlineStr">
        <is>
          <t>Samford</t>
        </is>
      </c>
      <c r="B213" s="46" t="n">
        <v>0.03242591731706763</v>
      </c>
    </row>
    <row r="214">
      <c r="A214" s="40" t="inlineStr">
        <is>
          <t>San Diego</t>
        </is>
      </c>
      <c r="B214" s="46" t="n">
        <v>0.4656714537202608</v>
      </c>
    </row>
    <row r="215">
      <c r="A215" s="40" t="inlineStr">
        <is>
          <t>San Diego St</t>
        </is>
      </c>
      <c r="B215" s="46" t="n">
        <v>11.07928895970718</v>
      </c>
    </row>
    <row r="216">
      <c r="A216" s="40" t="inlineStr">
        <is>
          <t>San Francisco</t>
        </is>
      </c>
      <c r="B216" s="46" t="n">
        <v>0.0115292150460685</v>
      </c>
    </row>
    <row r="217">
      <c r="A217" s="40" t="inlineStr">
        <is>
          <t>San Jose St</t>
        </is>
      </c>
      <c r="B217" s="46" t="n">
        <v>0.007378697629483837</v>
      </c>
    </row>
    <row r="218">
      <c r="A218" s="40" t="inlineStr">
        <is>
          <t>Santa Barbara</t>
        </is>
      </c>
      <c r="B218" s="46" t="n">
        <v>0.4146099229558849</v>
      </c>
    </row>
    <row r="219">
      <c r="A219" s="40" t="inlineStr">
        <is>
          <t>Santa Clara</t>
        </is>
      </c>
      <c r="B219" s="46" t="n">
        <v>0.05151967339813363</v>
      </c>
    </row>
    <row r="220">
      <c r="A220" s="40" t="inlineStr">
        <is>
          <t>Seton Hall</t>
        </is>
      </c>
      <c r="B220" s="46" t="n">
        <v>6.118444857829617</v>
      </c>
    </row>
    <row r="221">
      <c r="A221" s="40" t="inlineStr">
        <is>
          <t>Siena</t>
        </is>
      </c>
      <c r="B221" s="46" t="n">
        <v>1.182888518275079</v>
      </c>
    </row>
    <row r="222">
      <c r="A222" s="40" t="inlineStr">
        <is>
          <t>SMU</t>
        </is>
      </c>
      <c r="B222" s="46" t="n">
        <v>1.323264954543894</v>
      </c>
    </row>
    <row r="223">
      <c r="A223" s="40" t="inlineStr">
        <is>
          <t>South Alabama</t>
        </is>
      </c>
      <c r="B223" s="46" t="n">
        <v>0.2054537980545797</v>
      </c>
    </row>
    <row r="224">
      <c r="A224" s="40" t="inlineStr">
        <is>
          <t>South Carolina</t>
        </is>
      </c>
      <c r="B224" s="46" t="n">
        <v>36.86628047724307</v>
      </c>
    </row>
    <row r="225">
      <c r="A225" s="40" t="inlineStr">
        <is>
          <t>South Carolina St</t>
        </is>
      </c>
      <c r="B225" s="46" t="n">
        <v>0.07365410832297314</v>
      </c>
    </row>
    <row r="226">
      <c r="A226" s="40" t="inlineStr">
        <is>
          <t>South Dakota St</t>
        </is>
      </c>
      <c r="B226" s="46" t="n">
        <v>3.029824000000001</v>
      </c>
    </row>
    <row r="227">
      <c r="A227" s="40" t="inlineStr">
        <is>
          <t>South Florida</t>
        </is>
      </c>
      <c r="B227" s="46" t="n">
        <v>1.053532595860421</v>
      </c>
    </row>
    <row r="228">
      <c r="A228" s="40" t="inlineStr">
        <is>
          <t>Southeast Missouri St</t>
        </is>
      </c>
      <c r="B228" s="46" t="n">
        <v>0.01801439850948202</v>
      </c>
    </row>
    <row r="229">
      <c r="A229" s="40" t="inlineStr">
        <is>
          <t>Southeastern Louisiana</t>
        </is>
      </c>
      <c r="B229" s="46" t="n">
        <v>0.05497558138880008</v>
      </c>
    </row>
    <row r="230">
      <c r="A230" s="40" t="inlineStr">
        <is>
          <t>Southern</t>
        </is>
      </c>
      <c r="B230" s="46" t="n">
        <v>0.4159205919011177</v>
      </c>
    </row>
    <row r="231">
      <c r="A231" s="40" t="inlineStr">
        <is>
          <t>Southern Illinois</t>
        </is>
      </c>
      <c r="B231" s="46" t="n">
        <v>1.522658293174482</v>
      </c>
    </row>
    <row r="232">
      <c r="A232" s="40" t="inlineStr">
        <is>
          <t>Southern Mississippi</t>
        </is>
      </c>
      <c r="B232" s="46" t="n">
        <v>0.2664961329506128</v>
      </c>
    </row>
    <row r="233">
      <c r="A233" s="40" t="inlineStr">
        <is>
          <t>Southern Utah</t>
        </is>
      </c>
      <c r="B233" s="46" t="n">
        <v>0.02251799813685252</v>
      </c>
    </row>
    <row r="234">
      <c r="A234" s="40" t="inlineStr">
        <is>
          <t>Southwest Missouri St</t>
        </is>
      </c>
      <c r="B234" s="46" t="n">
        <v>0.1558185571503815</v>
      </c>
    </row>
    <row r="235">
      <c r="A235" s="40" t="inlineStr">
        <is>
          <t>Southwest Texas St</t>
        </is>
      </c>
      <c r="B235" s="46" t="n">
        <v>0.01394573851972445</v>
      </c>
    </row>
    <row r="236">
      <c r="A236" s="40" t="inlineStr">
        <is>
          <t>St Bonaventure</t>
        </is>
      </c>
      <c r="B236" s="46" t="n">
        <v>1.280158398509482</v>
      </c>
    </row>
    <row r="237">
      <c r="A237" s="40" t="inlineStr">
        <is>
          <t>St Francis</t>
        </is>
      </c>
      <c r="B237" s="46" t="n">
        <v>0.002417851639229265</v>
      </c>
    </row>
    <row r="238">
      <c r="A238" s="40" t="inlineStr">
        <is>
          <t>St. John's</t>
        </is>
      </c>
      <c r="B238" s="46" t="n">
        <v>1.267091107595562</v>
      </c>
    </row>
    <row r="239">
      <c r="A239" s="40" t="inlineStr">
        <is>
          <t>St Josephs</t>
        </is>
      </c>
      <c r="B239" s="46" t="n">
        <v>4.265203626348243</v>
      </c>
    </row>
    <row r="240">
      <c r="A240" s="40" t="inlineStr">
        <is>
          <t>Saint Louis</t>
        </is>
      </c>
      <c r="B240" s="46" t="n">
        <v>4.090161457590976</v>
      </c>
    </row>
    <row r="241">
      <c r="A241" s="40" t="inlineStr">
        <is>
          <t>Saint Mary's</t>
        </is>
      </c>
      <c r="B241" s="46" t="n">
        <v>5.640666160874764</v>
      </c>
    </row>
    <row r="242">
      <c r="A242" s="40" t="inlineStr">
        <is>
          <t>St Peters</t>
        </is>
      </c>
      <c r="B242" s="46" t="n">
        <v>0.2180360097428165</v>
      </c>
    </row>
    <row r="243">
      <c r="A243" s="40" t="inlineStr">
        <is>
          <t>Stanford</t>
        </is>
      </c>
      <c r="B243" s="46" t="n">
        <v>7.045239694089706</v>
      </c>
    </row>
    <row r="244">
      <c r="A244" s="40" t="inlineStr">
        <is>
          <t>Stephen F Austin</t>
        </is>
      </c>
      <c r="B244" s="46" t="n">
        <v>5.844617728000001</v>
      </c>
    </row>
    <row r="245">
      <c r="A245" s="40" t="inlineStr">
        <is>
          <t>Stony Brook</t>
        </is>
      </c>
      <c r="B245" s="46" t="n">
        <v>0.6400000000000001</v>
      </c>
    </row>
    <row r="246">
      <c r="A246" s="40" t="inlineStr">
        <is>
          <t>Syracuse</t>
        </is>
      </c>
      <c r="B246" s="46" t="n">
        <v>72.11033354659509</v>
      </c>
    </row>
    <row r="247">
      <c r="A247" s="40" t="inlineStr">
        <is>
          <t>TCU</t>
        </is>
      </c>
      <c r="B247" s="46" t="n">
        <v>1.015490623171782</v>
      </c>
    </row>
    <row r="248">
      <c r="A248" s="40" t="inlineStr">
        <is>
          <t>Temple</t>
        </is>
      </c>
      <c r="B248" s="46" t="n">
        <v>4.626489253675047</v>
      </c>
    </row>
    <row r="249">
      <c r="A249" s="40" t="inlineStr">
        <is>
          <t>Tennessee</t>
        </is>
      </c>
      <c r="B249" s="46" t="n">
        <v>14.6119183367012</v>
      </c>
    </row>
    <row r="250">
      <c r="A250" s="40" t="inlineStr">
        <is>
          <t>Tennessee St</t>
        </is>
      </c>
      <c r="B250" s="46" t="n">
        <v>0.008500259669165382</v>
      </c>
    </row>
    <row r="251">
      <c r="A251" s="40" t="inlineStr">
        <is>
          <t>Texas</t>
        </is>
      </c>
      <c r="B251" s="46" t="n">
        <v>12.54311661233563</v>
      </c>
    </row>
    <row r="252">
      <c r="A252" s="40" t="inlineStr">
        <is>
          <t>Texas A&amp;M</t>
        </is>
      </c>
      <c r="B252" s="46" t="n">
        <v>19.38203319977544</v>
      </c>
    </row>
    <row r="253">
      <c r="A253" s="40" t="inlineStr">
        <is>
          <t>Texas A&amp;M Corpus Christi</t>
        </is>
      </c>
      <c r="B253" s="46" t="n">
        <v>0.08589934592000009</v>
      </c>
    </row>
    <row r="254">
      <c r="A254" s="40" t="inlineStr">
        <is>
          <t>Texas Arlington</t>
        </is>
      </c>
      <c r="B254" s="46" t="n">
        <v>0.1073741824000001</v>
      </c>
    </row>
    <row r="255">
      <c r="A255" s="40" t="inlineStr">
        <is>
          <t>Texas San Antonio</t>
        </is>
      </c>
      <c r="B255" s="46" t="n">
        <v>0.2693451239579112</v>
      </c>
    </row>
    <row r="256">
      <c r="A256" s="40" t="inlineStr">
        <is>
          <t>Texas Southern</t>
        </is>
      </c>
      <c r="B256" s="46" t="n">
        <v>2.32455960589784</v>
      </c>
    </row>
    <row r="257">
      <c r="A257" s="40" t="inlineStr">
        <is>
          <t>Texas Tech</t>
        </is>
      </c>
      <c r="B257" s="46" t="n">
        <v>23.55871549432962</v>
      </c>
    </row>
    <row r="258">
      <c r="A258" s="40" t="inlineStr">
        <is>
          <t>Towson</t>
        </is>
      </c>
      <c r="B258" s="46" t="n">
        <v>0.004352132950612678</v>
      </c>
    </row>
    <row r="259">
      <c r="A259" s="40" t="inlineStr">
        <is>
          <t>Troy</t>
        </is>
      </c>
      <c r="B259" s="46" t="n">
        <v>0.8351843720888321</v>
      </c>
    </row>
    <row r="260">
      <c r="A260" s="40" t="inlineStr">
        <is>
          <t>Tulane</t>
        </is>
      </c>
      <c r="B260" s="46" t="n">
        <v>0.05081266335567751</v>
      </c>
    </row>
    <row r="261">
      <c r="A261" s="40" t="inlineStr">
        <is>
          <t>Tulsa</t>
        </is>
      </c>
      <c r="B261" s="46" t="n">
        <v>1.269832212076693</v>
      </c>
    </row>
    <row r="262">
      <c r="A262" s="40" t="inlineStr">
        <is>
          <t>UAB</t>
        </is>
      </c>
      <c r="B262" s="46" t="n">
        <v>2.804189399735896</v>
      </c>
    </row>
    <row r="263">
      <c r="A263" s="40" t="inlineStr">
        <is>
          <t>UC Davis</t>
        </is>
      </c>
      <c r="B263" s="46" t="n">
        <v>0.8</v>
      </c>
    </row>
    <row r="264">
      <c r="A264" s="40" t="inlineStr">
        <is>
          <t>UCLA</t>
        </is>
      </c>
      <c r="B264" s="46" t="n">
        <v>36.21340525760941</v>
      </c>
    </row>
    <row r="265">
      <c r="A265" s="40" t="inlineStr">
        <is>
          <t>UMBC</t>
        </is>
      </c>
      <c r="B265" s="46" t="n">
        <v>4.1073741824</v>
      </c>
    </row>
    <row r="266">
      <c r="A266" s="40" t="inlineStr">
        <is>
          <t>UNC Asheville</t>
        </is>
      </c>
      <c r="B266" s="46" t="n">
        <v>1.147043572088833</v>
      </c>
    </row>
    <row r="267">
      <c r="A267" s="40" t="inlineStr">
        <is>
          <t>UNC Greensboro</t>
        </is>
      </c>
      <c r="B267" s="46" t="n">
        <v>1.029896695766336</v>
      </c>
    </row>
    <row r="268">
      <c r="A268" s="40" t="inlineStr">
        <is>
          <t>UNC Wilmington</t>
        </is>
      </c>
      <c r="B268" s="46" t="n">
        <v>1.674508238018577</v>
      </c>
    </row>
    <row r="269">
      <c r="A269" s="40" t="inlineStr">
        <is>
          <t>UNLV</t>
        </is>
      </c>
      <c r="B269" s="46" t="n">
        <v>2.735295205129483</v>
      </c>
    </row>
    <row r="270">
      <c r="A270" s="40" t="inlineStr">
        <is>
          <t>USC</t>
        </is>
      </c>
      <c r="B270" s="46" t="n">
        <v>5.891146317454167</v>
      </c>
    </row>
    <row r="271">
      <c r="A271" s="40" t="inlineStr">
        <is>
          <t>Utah</t>
        </is>
      </c>
      <c r="B271" s="46" t="n">
        <v>10.13068424090676</v>
      </c>
    </row>
    <row r="272">
      <c r="A272" s="40" t="inlineStr">
        <is>
          <t>Utah State</t>
        </is>
      </c>
      <c r="B272" s="46" t="n">
        <v>0.7914380643558787</v>
      </c>
    </row>
    <row r="273">
      <c r="A273" s="40" t="inlineStr">
        <is>
          <t>UTEP</t>
        </is>
      </c>
      <c r="B273" s="46" t="n">
        <v>0.3136022644886142</v>
      </c>
    </row>
    <row r="274">
      <c r="A274" s="40" t="inlineStr">
        <is>
          <t>Valparaiso</t>
        </is>
      </c>
      <c r="B274" s="46" t="n">
        <v>1.076128100226197</v>
      </c>
    </row>
    <row r="275">
      <c r="A275" s="40" t="inlineStr">
        <is>
          <t>Vanderbilt</t>
        </is>
      </c>
      <c r="B275" s="46" t="n">
        <v>3.695582633691404</v>
      </c>
    </row>
    <row r="276">
      <c r="A276" s="40" t="inlineStr">
        <is>
          <t>VCU</t>
        </is>
      </c>
      <c r="B276" s="46" t="n">
        <v>16.819504775621</v>
      </c>
    </row>
    <row r="277">
      <c r="A277" s="40" t="inlineStr">
        <is>
          <t>Vermont</t>
        </is>
      </c>
      <c r="B277" s="46" t="n">
        <v>1.528983322755073</v>
      </c>
    </row>
    <row r="278">
      <c r="A278" s="40" t="inlineStr">
        <is>
          <t>Villanova</t>
        </is>
      </c>
      <c r="B278" s="46" t="n">
        <v>224.3387190386241</v>
      </c>
    </row>
    <row r="279">
      <c r="A279" s="40" t="inlineStr">
        <is>
          <t>Virginia</t>
        </is>
      </c>
      <c r="B279" s="46" t="n">
        <v>25.29399719154874</v>
      </c>
    </row>
    <row r="280">
      <c r="A280" s="40" t="inlineStr">
        <is>
          <t>Virginia Tech</t>
        </is>
      </c>
      <c r="B280" s="46" t="n">
        <v>2.174538281123192</v>
      </c>
    </row>
    <row r="281">
      <c r="A281" s="40" t="inlineStr">
        <is>
          <t>Wagner</t>
        </is>
      </c>
      <c r="B281" s="46" t="n">
        <v>0.03518437208883206</v>
      </c>
    </row>
    <row r="282">
      <c r="A282" s="40" t="inlineStr">
        <is>
          <t>Wake Forest</t>
        </is>
      </c>
      <c r="B282" s="46" t="n">
        <v>2.068475357774369</v>
      </c>
    </row>
    <row r="283">
      <c r="A283" s="40" t="inlineStr">
        <is>
          <t>Washington</t>
        </is>
      </c>
      <c r="B283" s="46" t="n">
        <v>4.465514134552572</v>
      </c>
    </row>
    <row r="284">
      <c r="A284" s="40" t="inlineStr">
        <is>
          <t>Washington St</t>
        </is>
      </c>
      <c r="B284" s="46" t="n">
        <v>1.422061574162871</v>
      </c>
    </row>
    <row r="285">
      <c r="A285" s="40" t="inlineStr">
        <is>
          <t>Weber St</t>
        </is>
      </c>
      <c r="B285" s="46" t="n">
        <v>1.251941625653523</v>
      </c>
    </row>
    <row r="286">
      <c r="A286" s="40" t="inlineStr">
        <is>
          <t>West Virginia</t>
        </is>
      </c>
      <c r="B286" s="46" t="n">
        <v>35.80942806877633</v>
      </c>
    </row>
    <row r="287">
      <c r="A287" s="40" t="inlineStr">
        <is>
          <t>Western Carolina</t>
        </is>
      </c>
      <c r="B287" s="46" t="n">
        <v>0.007378697629483837</v>
      </c>
    </row>
    <row r="288">
      <c r="A288" s="40" t="inlineStr">
        <is>
          <t>Western Kentucky</t>
        </is>
      </c>
      <c r="B288" s="46" t="n">
        <v>2.359530269283211</v>
      </c>
    </row>
    <row r="289">
      <c r="A289" s="40" t="inlineStr">
        <is>
          <t>Western Michigan</t>
        </is>
      </c>
      <c r="B289" s="46" t="n">
        <v>0.4996973252953142</v>
      </c>
    </row>
    <row r="290">
      <c r="A290" s="40" t="inlineStr">
        <is>
          <t>Wichita St</t>
        </is>
      </c>
      <c r="B290" s="46" t="n">
        <v>29.54388088473084</v>
      </c>
    </row>
    <row r="291">
      <c r="A291" s="40" t="inlineStr">
        <is>
          <t>Winthrop</t>
        </is>
      </c>
      <c r="B291" s="46" t="n">
        <v>1.435240039192934</v>
      </c>
    </row>
    <row r="292">
      <c r="A292" s="40" t="inlineStr">
        <is>
          <t>Wisconsin</t>
        </is>
      </c>
      <c r="B292" s="46" t="n">
        <v>91.85341328533532</v>
      </c>
    </row>
    <row r="293">
      <c r="A293" s="40" t="inlineStr">
        <is>
          <t>Wisconsin Green Bay</t>
        </is>
      </c>
      <c r="B293" s="46" t="n">
        <v>0.6745889733037789</v>
      </c>
    </row>
    <row r="294">
      <c r="A294" s="40" t="inlineStr">
        <is>
          <t>Wisconsin Milwaukee</t>
        </is>
      </c>
      <c r="B294" s="46" t="n">
        <v>1.269418092920833</v>
      </c>
    </row>
    <row r="295">
      <c r="A295" s="40" t="inlineStr">
        <is>
          <t>Wofford</t>
        </is>
      </c>
      <c r="B295" s="46" t="n">
        <v>1.299087360000001</v>
      </c>
    </row>
    <row r="296">
      <c r="A296" s="40" t="inlineStr">
        <is>
          <t>Wright St</t>
        </is>
      </c>
      <c r="B296" s="46" t="n">
        <v>1.089677239106296</v>
      </c>
    </row>
    <row r="297">
      <c r="A297" s="40" t="inlineStr">
        <is>
          <t>Wyoming</t>
        </is>
      </c>
      <c r="B297" s="46" t="n">
        <v>0.6357314510378311</v>
      </c>
    </row>
    <row r="298">
      <c r="A298" s="40" t="inlineStr">
        <is>
          <t>Xavier</t>
        </is>
      </c>
      <c r="B298" s="46" t="n">
        <v>39.25500917138759</v>
      </c>
    </row>
    <row r="299">
      <c r="A299" s="40" t="inlineStr">
        <is>
          <t>Yale</t>
        </is>
      </c>
      <c r="B299" s="46" t="n">
        <v>2.56</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76"/>
  <sheetViews>
    <sheetView workbookViewId="0">
      <selection activeCell="A1" sqref="A1:XFD1048576"/>
    </sheetView>
  </sheetViews>
  <sheetFormatPr baseColWidth="8" defaultRowHeight="15"/>
  <cols>
    <col width="21" bestFit="1" customWidth="1" style="38" min="1" max="1"/>
    <col width="35.42578125" bestFit="1" customWidth="1" style="38" min="2" max="2"/>
    <col width="9.140625" customWidth="1" style="38" min="3" max="16384"/>
  </cols>
  <sheetData>
    <row r="1">
      <c r="A1" s="40" t="inlineStr">
        <is>
          <t>Team</t>
        </is>
      </c>
      <c r="B1" s="40" t="inlineStr">
        <is>
          <t>Wins in last five regular season games</t>
        </is>
      </c>
    </row>
    <row r="2">
      <c r="A2" s="40" t="inlineStr">
        <is>
          <t>Abilene Christian</t>
        </is>
      </c>
      <c r="B2" s="38" t="n">
        <v>5</v>
      </c>
    </row>
    <row r="3">
      <c r="A3" s="40" t="inlineStr">
        <is>
          <t>Arizona State</t>
        </is>
      </c>
      <c r="B3" s="38" t="n">
        <v>3</v>
      </c>
    </row>
    <row r="4">
      <c r="A4" s="40" t="inlineStr">
        <is>
          <t>Auburn</t>
        </is>
      </c>
      <c r="B4" s="38" t="n">
        <v>5</v>
      </c>
    </row>
    <row r="5">
      <c r="A5" s="40" t="inlineStr">
        <is>
          <t>Baylor</t>
        </is>
      </c>
      <c r="B5" s="38" t="n">
        <v>1</v>
      </c>
    </row>
    <row r="6">
      <c r="A6" s="40" t="inlineStr">
        <is>
          <t>Belmont</t>
        </is>
      </c>
      <c r="B6" s="38" t="n">
        <v>4</v>
      </c>
    </row>
    <row r="7">
      <c r="A7" s="40" t="inlineStr">
        <is>
          <t>Bradley</t>
        </is>
      </c>
      <c r="B7" s="38" t="n">
        <v>4</v>
      </c>
    </row>
    <row r="8">
      <c r="A8" s="40" t="inlineStr">
        <is>
          <t>Buffalo</t>
        </is>
      </c>
      <c r="B8" s="38" t="n">
        <v>5</v>
      </c>
    </row>
    <row r="9">
      <c r="A9" s="40" t="inlineStr">
        <is>
          <t>Cincinnati</t>
        </is>
      </c>
      <c r="B9" s="38" t="n">
        <v>3</v>
      </c>
    </row>
    <row r="10">
      <c r="A10" s="40" t="inlineStr">
        <is>
          <t>Colgate</t>
        </is>
      </c>
      <c r="B10" s="38" t="n">
        <v>5</v>
      </c>
    </row>
    <row r="11">
      <c r="A11" s="40" t="inlineStr">
        <is>
          <t>Duke</t>
        </is>
      </c>
      <c r="B11" s="38" t="n">
        <v>4</v>
      </c>
    </row>
    <row r="12">
      <c r="A12" s="40" t="inlineStr">
        <is>
          <t>Fairleigh Dickinson</t>
        </is>
      </c>
      <c r="B12" s="38" t="n">
        <v>5</v>
      </c>
    </row>
    <row r="13">
      <c r="A13" s="40" t="inlineStr">
        <is>
          <t>Florida</t>
        </is>
      </c>
      <c r="B13" s="38" t="n">
        <v>2</v>
      </c>
    </row>
    <row r="14">
      <c r="A14" s="40" t="inlineStr">
        <is>
          <t>Florida State</t>
        </is>
      </c>
      <c r="B14" s="38" t="n">
        <v>4</v>
      </c>
    </row>
    <row r="15">
      <c r="A15" s="40" t="inlineStr">
        <is>
          <t>Gardner-Webb</t>
        </is>
      </c>
      <c r="B15" s="38" t="n">
        <v>5</v>
      </c>
    </row>
    <row r="16">
      <c r="A16" s="40" t="inlineStr">
        <is>
          <t>Georgia State</t>
        </is>
      </c>
      <c r="B16" s="38" t="n">
        <v>5</v>
      </c>
    </row>
    <row r="17">
      <c r="A17" s="40" t="inlineStr">
        <is>
          <t>Gonzaga</t>
        </is>
      </c>
      <c r="B17" s="38" t="n">
        <v>4</v>
      </c>
    </row>
    <row r="18">
      <c r="A18" s="40" t="inlineStr">
        <is>
          <t>Houston</t>
        </is>
      </c>
      <c r="B18" s="38" t="n">
        <v>4</v>
      </c>
    </row>
    <row r="19">
      <c r="A19" s="40" t="inlineStr">
        <is>
          <t>Iona</t>
        </is>
      </c>
      <c r="B19" s="38" t="n">
        <v>5</v>
      </c>
    </row>
    <row r="20">
      <c r="A20" s="40" t="inlineStr">
        <is>
          <t>Iowa</t>
        </is>
      </c>
      <c r="B20" s="38" t="n">
        <v>1</v>
      </c>
    </row>
    <row r="21">
      <c r="A21" s="40" t="inlineStr">
        <is>
          <t>Iowa State</t>
        </is>
      </c>
      <c r="B21" s="38" t="n">
        <v>3</v>
      </c>
    </row>
    <row r="22">
      <c r="A22" s="40" t="inlineStr">
        <is>
          <t>Kansas</t>
        </is>
      </c>
      <c r="B22" s="38" t="n">
        <v>3</v>
      </c>
    </row>
    <row r="23">
      <c r="A23" s="40" t="inlineStr">
        <is>
          <t>Kansas State</t>
        </is>
      </c>
      <c r="B23" s="38" t="n">
        <v>3</v>
      </c>
    </row>
    <row r="24">
      <c r="A24" s="40" t="inlineStr">
        <is>
          <t>Kentucky</t>
        </is>
      </c>
      <c r="B24" s="38" t="n">
        <v>3</v>
      </c>
    </row>
    <row r="25">
      <c r="A25" s="40" t="inlineStr">
        <is>
          <t>Liberty</t>
        </is>
      </c>
      <c r="B25" s="38" t="n">
        <v>5</v>
      </c>
    </row>
    <row r="26">
      <c r="A26" s="40" t="inlineStr">
        <is>
          <t>Louisville</t>
        </is>
      </c>
      <c r="B26" s="38" t="n">
        <v>2</v>
      </c>
    </row>
    <row r="27">
      <c r="A27" s="40" t="inlineStr">
        <is>
          <t>LSU</t>
        </is>
      </c>
      <c r="B27" s="38" t="n">
        <v>4</v>
      </c>
    </row>
    <row r="28">
      <c r="A28" s="40" t="inlineStr">
        <is>
          <t>Marquette</t>
        </is>
      </c>
      <c r="B28" s="38" t="n">
        <v>1</v>
      </c>
    </row>
    <row r="29">
      <c r="A29" s="40" t="inlineStr">
        <is>
          <t>Maryland</t>
        </is>
      </c>
      <c r="B29" s="38" t="n">
        <v>2</v>
      </c>
    </row>
    <row r="30">
      <c r="A30" s="40" t="inlineStr">
        <is>
          <t>Michigan</t>
        </is>
      </c>
      <c r="B30" s="38" t="n">
        <v>3</v>
      </c>
    </row>
    <row r="31">
      <c r="A31" s="40" t="inlineStr">
        <is>
          <t>Michigan State</t>
        </is>
      </c>
      <c r="B31" s="38" t="n">
        <v>5</v>
      </c>
    </row>
    <row r="32">
      <c r="A32" s="40" t="inlineStr">
        <is>
          <t>Minnesota</t>
        </is>
      </c>
      <c r="B32" s="38" t="n">
        <v>3</v>
      </c>
    </row>
    <row r="33">
      <c r="A33" s="40" t="inlineStr">
        <is>
          <t>Mississippi State</t>
        </is>
      </c>
      <c r="B33" s="38" t="n">
        <v>2</v>
      </c>
    </row>
    <row r="34">
      <c r="A34" s="40" t="inlineStr">
        <is>
          <t>Montana</t>
        </is>
      </c>
      <c r="B34" s="38" t="n">
        <v>4</v>
      </c>
    </row>
    <row r="35">
      <c r="A35" s="40" t="inlineStr">
        <is>
          <t>Murray State</t>
        </is>
      </c>
      <c r="B35" s="38" t="n">
        <v>5</v>
      </c>
    </row>
    <row r="36">
      <c r="A36" s="40" t="inlineStr">
        <is>
          <t>Nevada</t>
        </is>
      </c>
      <c r="B36" s="38" t="n">
        <v>3</v>
      </c>
    </row>
    <row r="37">
      <c r="A37" s="40" t="inlineStr">
        <is>
          <t>New Mexico State</t>
        </is>
      </c>
      <c r="B37" s="38" t="n">
        <v>5</v>
      </c>
    </row>
    <row r="38">
      <c r="A38" s="40" t="inlineStr">
        <is>
          <t>North Carolina</t>
        </is>
      </c>
      <c r="B38" s="38" t="n">
        <v>4</v>
      </c>
    </row>
    <row r="39">
      <c r="A39" s="40" t="inlineStr">
        <is>
          <t>North Carolina Central</t>
        </is>
      </c>
      <c r="B39" s="38" t="n">
        <v>4</v>
      </c>
    </row>
    <row r="40">
      <c r="A40" s="40" t="inlineStr">
        <is>
          <t>North Dakota State</t>
        </is>
      </c>
      <c r="B40" s="38" t="n">
        <v>4</v>
      </c>
    </row>
    <row r="41">
      <c r="A41" s="40" t="inlineStr">
        <is>
          <t>Northeastern</t>
        </is>
      </c>
      <c r="B41" s="38" t="n">
        <v>5</v>
      </c>
    </row>
    <row r="42">
      <c r="A42" s="40" t="inlineStr">
        <is>
          <t>Northern Kentucky</t>
        </is>
      </c>
      <c r="B42" s="38" t="n">
        <v>5</v>
      </c>
    </row>
    <row r="43">
      <c r="A43" s="40" t="inlineStr">
        <is>
          <t>Ohio State</t>
        </is>
      </c>
      <c r="B43" s="38" t="n">
        <v>1</v>
      </c>
    </row>
    <row r="44">
      <c r="A44" s="40" t="inlineStr">
        <is>
          <t>Oklahoma</t>
        </is>
      </c>
      <c r="B44" s="38" t="n">
        <v>2</v>
      </c>
    </row>
    <row r="45">
      <c r="A45" s="40" t="inlineStr">
        <is>
          <t>Old Dominion</t>
        </is>
      </c>
      <c r="B45" s="38" t="n">
        <v>3</v>
      </c>
    </row>
    <row r="46">
      <c r="A46" s="40" t="inlineStr">
        <is>
          <t>Oregon</t>
        </is>
      </c>
      <c r="B46" s="38" t="n">
        <v>5</v>
      </c>
    </row>
    <row r="47">
      <c r="A47" s="40" t="inlineStr">
        <is>
          <t>Prairie View A&amp;M</t>
        </is>
      </c>
      <c r="B47" s="38" t="n">
        <v>5</v>
      </c>
    </row>
    <row r="48">
      <c r="A48" s="40" t="inlineStr">
        <is>
          <t>Purdue</t>
        </is>
      </c>
      <c r="B48" s="38" t="n">
        <v>3</v>
      </c>
    </row>
    <row r="49">
      <c r="A49" s="40" t="inlineStr">
        <is>
          <t>Saint Louis</t>
        </is>
      </c>
      <c r="B49" s="38" t="n">
        <v>4</v>
      </c>
    </row>
    <row r="50">
      <c r="A50" s="40" t="inlineStr">
        <is>
          <t>Saint Mary's</t>
        </is>
      </c>
      <c r="B50" s="38" t="n">
        <v>4</v>
      </c>
    </row>
    <row r="51">
      <c r="A51" s="40" t="inlineStr">
        <is>
          <t>Seton Hall</t>
        </is>
      </c>
      <c r="B51" s="38" t="n">
        <v>4</v>
      </c>
    </row>
    <row r="52">
      <c r="A52" s="40" t="inlineStr">
        <is>
          <t>St. John's</t>
        </is>
      </c>
      <c r="B52" s="38" t="n">
        <v>1</v>
      </c>
    </row>
    <row r="53">
      <c r="A53" s="40" t="inlineStr">
        <is>
          <t>Syracuse</t>
        </is>
      </c>
      <c r="B53" s="38" t="n">
        <v>2</v>
      </c>
    </row>
    <row r="54">
      <c r="A54" s="40" t="inlineStr">
        <is>
          <t>Temple</t>
        </is>
      </c>
      <c r="B54" s="38" t="n">
        <v>3</v>
      </c>
    </row>
    <row r="55">
      <c r="A55" s="40" t="inlineStr">
        <is>
          <t>Tennessee</t>
        </is>
      </c>
      <c r="B55" s="38" t="n">
        <v>3</v>
      </c>
    </row>
    <row r="56">
      <c r="A56" s="40" t="inlineStr">
        <is>
          <t>Texas Tech</t>
        </is>
      </c>
      <c r="B56" s="38" t="n">
        <v>4</v>
      </c>
    </row>
    <row r="57">
      <c r="A57" s="40" t="inlineStr">
        <is>
          <t>UC Irvine</t>
        </is>
      </c>
      <c r="B57" s="38" t="n">
        <v>5</v>
      </c>
    </row>
    <row r="58">
      <c r="A58" s="40" t="inlineStr">
        <is>
          <t>UCF</t>
        </is>
      </c>
      <c r="B58" s="38" t="n">
        <v>3</v>
      </c>
    </row>
    <row r="59">
      <c r="A59" s="40" t="inlineStr">
        <is>
          <t>Utah State</t>
        </is>
      </c>
      <c r="B59" s="38" t="n">
        <v>5</v>
      </c>
    </row>
    <row r="60">
      <c r="A60" s="40" t="inlineStr">
        <is>
          <t>VCU</t>
        </is>
      </c>
      <c r="B60" s="38" t="n">
        <v>4</v>
      </c>
    </row>
    <row r="61">
      <c r="A61" s="40" t="inlineStr">
        <is>
          <t>Vermont</t>
        </is>
      </c>
      <c r="B61" s="38" t="n">
        <v>5</v>
      </c>
    </row>
    <row r="62">
      <c r="A62" s="40" t="inlineStr">
        <is>
          <t>Villanova</t>
        </is>
      </c>
      <c r="B62" s="38" t="n">
        <v>4</v>
      </c>
    </row>
    <row r="63">
      <c r="A63" s="40" t="inlineStr">
        <is>
          <t>Virginia</t>
        </is>
      </c>
      <c r="B63" s="38" t="n">
        <v>4</v>
      </c>
    </row>
    <row r="64">
      <c r="A64" s="40" t="inlineStr">
        <is>
          <t>Virginia Tech</t>
        </is>
      </c>
      <c r="B64" s="38" t="n">
        <v>3</v>
      </c>
    </row>
    <row r="65">
      <c r="A65" s="40" t="inlineStr">
        <is>
          <t>Washington</t>
        </is>
      </c>
      <c r="B65" s="38" t="n">
        <v>3</v>
      </c>
    </row>
    <row r="66">
      <c r="A66" s="40" t="inlineStr">
        <is>
          <t>Wisconsin</t>
        </is>
      </c>
      <c r="B66" s="38" t="n">
        <v>4</v>
      </c>
    </row>
    <row r="67">
      <c r="A67" s="40" t="inlineStr">
        <is>
          <t>Wofford</t>
        </is>
      </c>
      <c r="B67" s="38" t="n">
        <v>5</v>
      </c>
    </row>
    <row r="68">
      <c r="A68" s="40" t="inlineStr">
        <is>
          <t>Yale</t>
        </is>
      </c>
      <c r="B68" s="38" t="n">
        <v>3</v>
      </c>
    </row>
    <row r="69">
      <c r="A69" s="40" t="inlineStr">
        <is>
          <t>Bradley</t>
        </is>
      </c>
      <c r="B69" s="38" t="n">
        <v>4</v>
      </c>
    </row>
    <row r="70">
      <c r="A70" s="40" t="inlineStr">
        <is>
          <t>Cincinnati</t>
        </is>
      </c>
      <c r="B70" s="38" t="n">
        <v>3</v>
      </c>
    </row>
    <row r="71">
      <c r="A71" s="40" t="inlineStr">
        <is>
          <t>Baylor</t>
        </is>
      </c>
      <c r="B71" s="38" t="n">
        <v>1</v>
      </c>
    </row>
    <row r="72">
      <c r="A72" s="40" t="inlineStr">
        <is>
          <t>Buffalo</t>
        </is>
      </c>
      <c r="B72" s="38" t="n">
        <v>5</v>
      </c>
    </row>
    <row r="73">
      <c r="A73" s="40" t="inlineStr">
        <is>
          <t>Auburn</t>
        </is>
      </c>
      <c r="B73" s="38" t="n">
        <v>5</v>
      </c>
    </row>
    <row r="74">
      <c r="A74" s="40" t="inlineStr">
        <is>
          <t>Abilene Christian</t>
        </is>
      </c>
      <c r="B74" s="38" t="n">
        <v>5</v>
      </c>
    </row>
    <row r="75">
      <c r="A75" s="40" t="inlineStr">
        <is>
          <t>Belmont</t>
        </is>
      </c>
      <c r="B75" s="38" t="n">
        <v>4</v>
      </c>
    </row>
    <row r="76">
      <c r="A76" s="40" t="inlineStr">
        <is>
          <t>Arizona State</t>
        </is>
      </c>
      <c r="B76" s="38" t="n">
        <v>3</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52"/>
  <sheetViews>
    <sheetView workbookViewId="0">
      <selection activeCell="A1" sqref="A1:XFD1048576"/>
    </sheetView>
  </sheetViews>
  <sheetFormatPr baseColWidth="8" defaultRowHeight="15"/>
  <cols>
    <col width="21" bestFit="1" customWidth="1" style="38" min="1" max="1"/>
    <col width="5.28515625" bestFit="1" customWidth="1" style="186" min="2" max="2"/>
    <col width="9.140625" customWidth="1" style="38" min="3" max="16384"/>
  </cols>
  <sheetData>
    <row r="1">
      <c r="A1" s="40" t="inlineStr">
        <is>
          <t>TEAM</t>
        </is>
      </c>
      <c r="B1" s="187" t="inlineStr">
        <is>
          <t>BPI</t>
        </is>
      </c>
    </row>
    <row r="2">
      <c r="A2" s="38" t="inlineStr">
        <is>
          <t>Abilene Christian</t>
        </is>
      </c>
      <c r="B2" s="186" t="n">
        <v>1.7</v>
      </c>
    </row>
    <row r="3">
      <c r="A3" s="38" t="inlineStr">
        <is>
          <t>Akron</t>
        </is>
      </c>
      <c r="B3" s="186" t="n">
        <v>3.1</v>
      </c>
    </row>
    <row r="4">
      <c r="A4" s="38" t="inlineStr">
        <is>
          <t>Alabama</t>
        </is>
      </c>
      <c r="B4" s="186" t="n">
        <v>7.2</v>
      </c>
    </row>
    <row r="5">
      <c r="A5" s="38" t="inlineStr">
        <is>
          <t>American</t>
        </is>
      </c>
      <c r="B5" s="186" t="n">
        <v>-1.2</v>
      </c>
    </row>
    <row r="6">
      <c r="A6" s="38" t="inlineStr">
        <is>
          <t>Appalachian State</t>
        </is>
      </c>
      <c r="B6" s="186" t="n">
        <v>-1.8</v>
      </c>
    </row>
    <row r="7">
      <c r="A7" s="38" t="inlineStr">
        <is>
          <t>Arizona</t>
        </is>
      </c>
      <c r="B7" s="186" t="n">
        <v>4.6</v>
      </c>
    </row>
    <row r="8">
      <c r="A8" s="38" t="inlineStr">
        <is>
          <t>Arizona State</t>
        </is>
      </c>
      <c r="B8" s="186" t="n">
        <v>7.4</v>
      </c>
    </row>
    <row r="9">
      <c r="A9" s="38" t="inlineStr">
        <is>
          <t>Arkansas</t>
        </is>
      </c>
      <c r="B9" s="186" t="n">
        <v>7</v>
      </c>
    </row>
    <row r="10">
      <c r="A10" s="38" t="inlineStr">
        <is>
          <t>Army</t>
        </is>
      </c>
      <c r="B10" s="186" t="n">
        <v>-3.2</v>
      </c>
    </row>
    <row r="11">
      <c r="A11" s="38" t="inlineStr">
        <is>
          <t>Auburn</t>
        </is>
      </c>
      <c r="B11" s="186" t="n">
        <v>15</v>
      </c>
    </row>
    <row r="12">
      <c r="A12" s="38" t="inlineStr">
        <is>
          <t>Austin Peay</t>
        </is>
      </c>
      <c r="B12" s="186" t="n">
        <v>4</v>
      </c>
    </row>
    <row r="13">
      <c r="A13" s="38" t="inlineStr">
        <is>
          <t>Ball State</t>
        </is>
      </c>
      <c r="B13" s="186" t="n">
        <v>2.9</v>
      </c>
    </row>
    <row r="14">
      <c r="A14" s="38" t="inlineStr">
        <is>
          <t>Baylor</t>
        </is>
      </c>
      <c r="B14" s="186" t="n">
        <v>9.9</v>
      </c>
    </row>
    <row r="15">
      <c r="A15" s="38" t="inlineStr">
        <is>
          <t>Belmont</t>
        </is>
      </c>
      <c r="B15" s="186" t="n">
        <v>8.9</v>
      </c>
    </row>
    <row r="16">
      <c r="A16" s="38" t="inlineStr">
        <is>
          <t>Boise State</t>
        </is>
      </c>
      <c r="B16" s="186" t="n">
        <v>2.5</v>
      </c>
    </row>
    <row r="17">
      <c r="A17" s="38" t="inlineStr">
        <is>
          <t>Boston College</t>
        </is>
      </c>
      <c r="B17" s="186" t="n">
        <v>3.6</v>
      </c>
    </row>
    <row r="18">
      <c r="A18" s="38" t="inlineStr">
        <is>
          <t>Boston University</t>
        </is>
      </c>
      <c r="B18" s="186" t="n">
        <v>-3.1</v>
      </c>
    </row>
    <row r="19">
      <c r="A19" s="38" t="inlineStr">
        <is>
          <t>Bowling Green</t>
        </is>
      </c>
      <c r="B19" s="186" t="n">
        <v>2.7</v>
      </c>
    </row>
    <row r="20">
      <c r="A20" s="38" t="inlineStr">
        <is>
          <t>Bradley</t>
        </is>
      </c>
      <c r="B20" s="186" t="n">
        <v>-0.6</v>
      </c>
    </row>
    <row r="21">
      <c r="A21" s="38" t="inlineStr">
        <is>
          <t>Brown</t>
        </is>
      </c>
      <c r="B21" s="186" t="n">
        <v>1.8</v>
      </c>
    </row>
    <row r="22">
      <c r="A22" s="38" t="inlineStr">
        <is>
          <t>Bucknell</t>
        </is>
      </c>
      <c r="B22" s="186" t="n">
        <v>2.2</v>
      </c>
    </row>
    <row r="23">
      <c r="A23" s="38" t="inlineStr">
        <is>
          <t>Buffalo</t>
        </is>
      </c>
      <c r="B23" s="186" t="n">
        <v>12.9</v>
      </c>
    </row>
    <row r="24">
      <c r="A24" s="38" t="inlineStr">
        <is>
          <t>Butler</t>
        </is>
      </c>
      <c r="B24" s="186" t="n">
        <v>7</v>
      </c>
    </row>
    <row r="25">
      <c r="A25" s="38" t="inlineStr">
        <is>
          <t>BYU</t>
        </is>
      </c>
      <c r="B25" s="186" t="n">
        <v>4.8</v>
      </c>
    </row>
    <row r="26">
      <c r="A26" s="38" t="inlineStr">
        <is>
          <t>California Baptist</t>
        </is>
      </c>
      <c r="B26" s="186" t="n">
        <v>-2.6</v>
      </c>
    </row>
    <row r="27">
      <c r="A27" s="38" t="inlineStr">
        <is>
          <t>Campbell</t>
        </is>
      </c>
      <c r="B27" s="186" t="n">
        <v>-0.2</v>
      </c>
    </row>
    <row r="28">
      <c r="A28" s="38" t="inlineStr">
        <is>
          <t>Central Michigan</t>
        </is>
      </c>
      <c r="B28" s="186" t="n">
        <v>1.5</v>
      </c>
    </row>
    <row r="29">
      <c r="A29" s="38" t="inlineStr">
        <is>
          <t>Charleston</t>
        </is>
      </c>
      <c r="B29" s="186" t="n">
        <v>3.3</v>
      </c>
    </row>
    <row r="30">
      <c r="A30" s="38" t="inlineStr">
        <is>
          <t>Charleston Southern</t>
        </is>
      </c>
      <c r="B30" s="186" t="n">
        <v>-0.2</v>
      </c>
    </row>
    <row r="31">
      <c r="A31" s="38" t="inlineStr">
        <is>
          <t>Cincinnati</t>
        </is>
      </c>
      <c r="B31" s="186" t="n">
        <v>11.3</v>
      </c>
    </row>
    <row r="32">
      <c r="A32" s="38" t="inlineStr">
        <is>
          <t>Clemson</t>
        </is>
      </c>
      <c r="B32" s="186" t="n">
        <v>11.6</v>
      </c>
    </row>
    <row r="33">
      <c r="A33" s="38" t="inlineStr">
        <is>
          <t>Coastal Carolina</t>
        </is>
      </c>
      <c r="B33" s="186" t="n">
        <v>0.3</v>
      </c>
    </row>
    <row r="34">
      <c r="A34" s="38" t="inlineStr">
        <is>
          <t>Colgate</t>
        </is>
      </c>
      <c r="B34" s="186" t="n">
        <v>2.4</v>
      </c>
    </row>
    <row r="35">
      <c r="A35" s="38" t="inlineStr">
        <is>
          <t>Colorado</t>
        </is>
      </c>
      <c r="B35" s="186" t="n">
        <v>5.5</v>
      </c>
    </row>
    <row r="36">
      <c r="A36" s="38" t="inlineStr">
        <is>
          <t>Colorado State</t>
        </is>
      </c>
      <c r="B36" s="186" t="n">
        <v>-1.7</v>
      </c>
    </row>
    <row r="37">
      <c r="A37" s="38" t="inlineStr">
        <is>
          <t>Columbia</t>
        </is>
      </c>
      <c r="B37" s="186" t="n">
        <v>-2</v>
      </c>
    </row>
    <row r="38">
      <c r="A38" s="38" t="inlineStr">
        <is>
          <t>Cornell</t>
        </is>
      </c>
      <c r="B38" s="186" t="n">
        <v>-3.8</v>
      </c>
    </row>
    <row r="39">
      <c r="A39" s="38" t="inlineStr">
        <is>
          <t>Creighton</t>
        </is>
      </c>
      <c r="B39" s="186" t="n">
        <v>9</v>
      </c>
    </row>
    <row r="40">
      <c r="A40" s="38" t="inlineStr">
        <is>
          <t>CSU Bakersfield</t>
        </is>
      </c>
      <c r="B40" s="186" t="n">
        <v>-4.1</v>
      </c>
    </row>
    <row r="41">
      <c r="A41" s="38" t="inlineStr">
        <is>
          <t>CSU Fullerton</t>
        </is>
      </c>
      <c r="B41" s="186" t="n">
        <v>-0.9</v>
      </c>
    </row>
    <row r="42">
      <c r="A42" s="38" t="inlineStr">
        <is>
          <t>Dartmouth</t>
        </is>
      </c>
      <c r="B42" s="186" t="n">
        <v>-1.2</v>
      </c>
    </row>
    <row r="43">
      <c r="A43" s="38" t="inlineStr">
        <is>
          <t>Davidson</t>
        </is>
      </c>
      <c r="B43" s="186" t="n">
        <v>6.1</v>
      </c>
    </row>
    <row r="44">
      <c r="A44" s="38" t="inlineStr">
        <is>
          <t>Dayton</t>
        </is>
      </c>
      <c r="B44" s="186" t="n">
        <v>8.1</v>
      </c>
    </row>
    <row r="45">
      <c r="A45" s="38" t="inlineStr">
        <is>
          <t>DePaul</t>
        </is>
      </c>
      <c r="B45" s="186" t="n">
        <v>3.9</v>
      </c>
    </row>
    <row r="46">
      <c r="A46" s="38" t="inlineStr">
        <is>
          <t>Drake</t>
        </is>
      </c>
      <c r="B46" s="186" t="n">
        <v>2.4</v>
      </c>
    </row>
    <row r="47">
      <c r="A47" s="38" t="inlineStr">
        <is>
          <t>Drexel</t>
        </is>
      </c>
      <c r="B47" s="186" t="n">
        <v>-4.1</v>
      </c>
    </row>
    <row r="48">
      <c r="A48" s="38" t="inlineStr">
        <is>
          <t>Duke</t>
        </is>
      </c>
      <c r="B48" s="186" t="n">
        <v>21.7</v>
      </c>
    </row>
    <row r="49">
      <c r="A49" s="38" t="inlineStr">
        <is>
          <t>Duquesne</t>
        </is>
      </c>
      <c r="B49" s="186" t="n">
        <v>0.3</v>
      </c>
    </row>
    <row r="50">
      <c r="A50" s="38" t="inlineStr">
        <is>
          <t>East Tennessee State</t>
        </is>
      </c>
      <c r="B50" s="186" t="n">
        <v>6.7</v>
      </c>
    </row>
    <row r="51">
      <c r="A51" s="38" t="inlineStr">
        <is>
          <t>Eastern Kentucky</t>
        </is>
      </c>
      <c r="B51" s="186" t="n">
        <v>-3.4</v>
      </c>
    </row>
    <row r="52">
      <c r="A52" s="38" t="inlineStr">
        <is>
          <t>Eastern Michigan</t>
        </is>
      </c>
      <c r="B52" s="186" t="n">
        <v>-1.1</v>
      </c>
    </row>
    <row r="53">
      <c r="A53" s="38" t="inlineStr">
        <is>
          <t>Eastern Washington</t>
        </is>
      </c>
      <c r="B53" s="186" t="n">
        <v>-4</v>
      </c>
    </row>
    <row r="54">
      <c r="A54" s="38" t="inlineStr">
        <is>
          <t>Evansville</t>
        </is>
      </c>
      <c r="B54" s="186" t="n">
        <v>-4.5</v>
      </c>
    </row>
    <row r="55">
      <c r="A55" s="38" t="inlineStr">
        <is>
          <t>Fairleigh Dickinson</t>
        </is>
      </c>
      <c r="B55" s="186" t="n">
        <v>-1.2</v>
      </c>
    </row>
    <row r="56">
      <c r="A56" s="38" t="inlineStr">
        <is>
          <t>Florida</t>
        </is>
      </c>
      <c r="B56" s="186" t="n">
        <v>11.5</v>
      </c>
    </row>
    <row r="57">
      <c r="A57" s="38" t="inlineStr">
        <is>
          <t>Florida Atlantic</t>
        </is>
      </c>
      <c r="B57" s="186" t="n">
        <v>-2.3</v>
      </c>
    </row>
    <row r="58">
      <c r="A58" s="38" t="inlineStr">
        <is>
          <t>Florida International</t>
        </is>
      </c>
      <c r="B58" s="186" t="n">
        <v>-3.4</v>
      </c>
    </row>
    <row r="59">
      <c r="A59" s="38" t="inlineStr">
        <is>
          <t>Florida State</t>
        </is>
      </c>
      <c r="B59" s="186" t="n">
        <v>14.3</v>
      </c>
    </row>
    <row r="60">
      <c r="A60" s="38" t="inlineStr">
        <is>
          <t>Fordham</t>
        </is>
      </c>
      <c r="B60" s="186" t="n">
        <v>-4.2</v>
      </c>
    </row>
    <row r="61">
      <c r="A61" s="38" t="inlineStr">
        <is>
          <t>Fresno State</t>
        </is>
      </c>
      <c r="B61" s="186" t="n">
        <v>6.7</v>
      </c>
    </row>
    <row r="62">
      <c r="A62" s="38" t="inlineStr">
        <is>
          <t>Furman</t>
        </is>
      </c>
      <c r="B62" s="186" t="n">
        <v>7.8</v>
      </c>
    </row>
    <row r="63">
      <c r="A63" s="38" t="inlineStr">
        <is>
          <t>Gardner-Webb</t>
        </is>
      </c>
      <c r="B63" s="186" t="n">
        <v>1.8</v>
      </c>
    </row>
    <row r="64">
      <c r="A64" s="38" t="inlineStr">
        <is>
          <t>George Mason</t>
        </is>
      </c>
      <c r="B64" s="186" t="n">
        <v>1.2</v>
      </c>
    </row>
    <row r="65">
      <c r="A65" s="38" t="inlineStr">
        <is>
          <t>Georgetown</t>
        </is>
      </c>
      <c r="B65" s="186" t="n">
        <v>5.2</v>
      </c>
    </row>
    <row r="66">
      <c r="A66" s="38" t="inlineStr">
        <is>
          <t>Georgia</t>
        </is>
      </c>
      <c r="B66" s="186" t="n">
        <v>2.5</v>
      </c>
    </row>
    <row r="67">
      <c r="A67" s="38" t="inlineStr">
        <is>
          <t>Georgia Southern</t>
        </is>
      </c>
      <c r="B67" s="186" t="n">
        <v>4.5</v>
      </c>
    </row>
    <row r="68">
      <c r="A68" s="38" t="inlineStr">
        <is>
          <t>Georgia State</t>
        </is>
      </c>
      <c r="B68" s="186" t="n">
        <v>4.1</v>
      </c>
    </row>
    <row r="69">
      <c r="A69" s="38" t="inlineStr">
        <is>
          <t>Georgia Tech</t>
        </is>
      </c>
      <c r="B69" s="186" t="n">
        <v>4</v>
      </c>
    </row>
    <row r="70">
      <c r="A70" s="38" t="inlineStr">
        <is>
          <t>Gonzaga</t>
        </is>
      </c>
      <c r="B70" s="186" t="n">
        <v>22.8</v>
      </c>
    </row>
    <row r="71">
      <c r="A71" s="38" t="inlineStr">
        <is>
          <t>Grand Canyon</t>
        </is>
      </c>
      <c r="B71" s="186" t="n">
        <v>3.7</v>
      </c>
    </row>
    <row r="72">
      <c r="A72" s="38" t="inlineStr">
        <is>
          <t>Green Bay</t>
        </is>
      </c>
      <c r="B72" s="186" t="n">
        <v>-1.5</v>
      </c>
    </row>
    <row r="73">
      <c r="A73" s="38" t="inlineStr">
        <is>
          <t>Hampton</t>
        </is>
      </c>
      <c r="B73" s="186" t="n">
        <v>-1.3</v>
      </c>
    </row>
    <row r="74">
      <c r="A74" s="38" t="inlineStr">
        <is>
          <t>Hartford</t>
        </is>
      </c>
      <c r="B74" s="186" t="n">
        <v>-0.8</v>
      </c>
    </row>
    <row r="75">
      <c r="A75" s="38" t="inlineStr">
        <is>
          <t>Harvard</t>
        </is>
      </c>
      <c r="B75" s="186" t="n">
        <v>3</v>
      </c>
    </row>
    <row r="76">
      <c r="A76" s="38" t="inlineStr">
        <is>
          <t>Hawai'i</t>
        </is>
      </c>
      <c r="B76" s="186" t="n">
        <v>-2.3</v>
      </c>
    </row>
    <row r="77">
      <c r="A77" s="38" t="inlineStr">
        <is>
          <t>High Point</t>
        </is>
      </c>
      <c r="B77" s="186" t="n">
        <v>-3.6</v>
      </c>
    </row>
    <row r="78">
      <c r="A78" s="38" t="inlineStr">
        <is>
          <t>Hofstra</t>
        </is>
      </c>
      <c r="B78" s="186" t="n">
        <v>6.4</v>
      </c>
    </row>
    <row r="79">
      <c r="A79" s="38" t="inlineStr">
        <is>
          <t>Holy Cross</t>
        </is>
      </c>
      <c r="B79" s="186" t="n">
        <v>-3.6</v>
      </c>
    </row>
    <row r="80">
      <c r="A80" s="38" t="inlineStr">
        <is>
          <t>Houston</t>
        </is>
      </c>
      <c r="B80" s="186" t="n">
        <v>15.3</v>
      </c>
    </row>
    <row r="81">
      <c r="A81" s="38" t="inlineStr">
        <is>
          <t>Illinois</t>
        </is>
      </c>
      <c r="B81" s="186" t="n">
        <v>4.9</v>
      </c>
    </row>
    <row r="82">
      <c r="A82" s="38" t="inlineStr">
        <is>
          <t>Illinois State</t>
        </is>
      </c>
      <c r="B82" s="186" t="n">
        <v>-3.1</v>
      </c>
    </row>
    <row r="83">
      <c r="A83" s="38" t="inlineStr">
        <is>
          <t>Indiana</t>
        </is>
      </c>
      <c r="B83" s="186" t="n">
        <v>9.6</v>
      </c>
    </row>
    <row r="84">
      <c r="A84" s="38" t="inlineStr">
        <is>
          <t>Indiana State</t>
        </is>
      </c>
      <c r="B84" s="186" t="n">
        <v>-3.6</v>
      </c>
    </row>
    <row r="85">
      <c r="A85" s="38" t="inlineStr">
        <is>
          <t>Iona</t>
        </is>
      </c>
      <c r="B85" s="186" t="n">
        <v>-1</v>
      </c>
    </row>
    <row r="86">
      <c r="A86" s="38" t="inlineStr">
        <is>
          <t>Iowa</t>
        </is>
      </c>
      <c r="B86" s="186" t="n">
        <v>10.2</v>
      </c>
    </row>
    <row r="87">
      <c r="A87" s="38" t="inlineStr">
        <is>
          <t>Iowa State</t>
        </is>
      </c>
      <c r="B87" s="186" t="n">
        <v>14.4</v>
      </c>
    </row>
    <row r="88">
      <c r="A88" s="38" t="inlineStr">
        <is>
          <t>IUPUI</t>
        </is>
      </c>
      <c r="B88" s="186" t="n">
        <v>-1.9</v>
      </c>
    </row>
    <row r="89">
      <c r="A89" s="38" t="inlineStr">
        <is>
          <t>Jacksonville State</t>
        </is>
      </c>
      <c r="B89" s="186" t="n">
        <v>3.2</v>
      </c>
    </row>
    <row r="90">
      <c r="A90" s="38" t="inlineStr">
        <is>
          <t>Kansas</t>
        </is>
      </c>
      <c r="B90" s="186" t="n">
        <v>13.5</v>
      </c>
    </row>
    <row r="91">
      <c r="A91" s="38" t="inlineStr">
        <is>
          <t>Kansas State</t>
        </is>
      </c>
      <c r="B91" s="186" t="n">
        <v>12.7</v>
      </c>
    </row>
    <row r="92">
      <c r="A92" s="38" t="inlineStr">
        <is>
          <t>Kent State</t>
        </is>
      </c>
      <c r="B92" s="186" t="n">
        <v>0.7</v>
      </c>
    </row>
    <row r="93">
      <c r="A93" s="38" t="inlineStr">
        <is>
          <t>Kentucky</t>
        </is>
      </c>
      <c r="B93" s="186" t="n">
        <v>17.7</v>
      </c>
    </row>
    <row r="94">
      <c r="A94" s="38" t="inlineStr">
        <is>
          <t>La Salle</t>
        </is>
      </c>
      <c r="B94" s="186" t="n">
        <v>-3.1</v>
      </c>
    </row>
    <row r="95">
      <c r="A95" s="38" t="inlineStr">
        <is>
          <t>Lamar</t>
        </is>
      </c>
      <c r="B95" s="186" t="n">
        <v>-1.5</v>
      </c>
    </row>
    <row r="96">
      <c r="A96" s="38" t="inlineStr">
        <is>
          <t>Lehigh</t>
        </is>
      </c>
      <c r="B96" s="186" t="n">
        <v>0.3</v>
      </c>
    </row>
    <row r="97">
      <c r="A97" s="38" t="inlineStr">
        <is>
          <t>Liberty</t>
        </is>
      </c>
      <c r="B97" s="186" t="n">
        <v>7.2</v>
      </c>
    </row>
    <row r="98">
      <c r="A98" s="38" t="inlineStr">
        <is>
          <t>Lipscomb</t>
        </is>
      </c>
      <c r="B98" s="186" t="n">
        <v>8.4</v>
      </c>
    </row>
    <row r="99">
      <c r="A99" s="38" t="inlineStr">
        <is>
          <t>Little Rock</t>
        </is>
      </c>
      <c r="B99" s="186" t="n">
        <v>-3.9</v>
      </c>
    </row>
    <row r="100">
      <c r="A100" s="38" t="inlineStr">
        <is>
          <t>LIU Brooklyn</t>
        </is>
      </c>
      <c r="B100" s="186" t="n">
        <v>-3.6</v>
      </c>
    </row>
    <row r="101">
      <c r="A101" s="38" t="inlineStr">
        <is>
          <t>Long Beach State</t>
        </is>
      </c>
      <c r="B101" s="186" t="n">
        <v>-2.4</v>
      </c>
    </row>
    <row r="102">
      <c r="A102" s="38" t="inlineStr">
        <is>
          <t>Louisiana</t>
        </is>
      </c>
      <c r="B102" s="186" t="n">
        <v>-0.7</v>
      </c>
    </row>
    <row r="103">
      <c r="A103" s="38" t="inlineStr">
        <is>
          <t>Louisiana Tech</t>
        </is>
      </c>
      <c r="B103" s="186" t="n">
        <v>1.3</v>
      </c>
    </row>
    <row r="104">
      <c r="A104" s="38" t="inlineStr">
        <is>
          <t>Louisville</t>
        </is>
      </c>
      <c r="B104" s="186" t="n">
        <v>13.8</v>
      </c>
    </row>
    <row r="105">
      <c r="A105" s="38" t="inlineStr">
        <is>
          <t>Loyola Marymount</t>
        </is>
      </c>
      <c r="B105" s="186" t="n">
        <v>2.2</v>
      </c>
    </row>
    <row r="106">
      <c r="A106" s="38" t="inlineStr">
        <is>
          <t>Loyola-Chicago</t>
        </is>
      </c>
      <c r="B106" s="186" t="n">
        <v>3.3</v>
      </c>
    </row>
    <row r="107">
      <c r="A107" s="38" t="inlineStr">
        <is>
          <t>LSU</t>
        </is>
      </c>
      <c r="B107" s="186" t="n">
        <v>12.8</v>
      </c>
    </row>
    <row r="108">
      <c r="A108" s="38" t="inlineStr">
        <is>
          <t>Marist</t>
        </is>
      </c>
      <c r="B108" s="186" t="n">
        <v>-4.5</v>
      </c>
    </row>
    <row r="109">
      <c r="A109" s="38" t="inlineStr">
        <is>
          <t>Marquette</t>
        </is>
      </c>
      <c r="B109" s="186" t="n">
        <v>12.3</v>
      </c>
    </row>
    <row r="110">
      <c r="A110" s="38" t="inlineStr">
        <is>
          <t>Marshall</t>
        </is>
      </c>
      <c r="B110" s="186" t="n">
        <v>-0.8</v>
      </c>
    </row>
    <row r="111">
      <c r="A111" s="38" t="inlineStr">
        <is>
          <t>Maryland</t>
        </is>
      </c>
      <c r="B111" s="186" t="n">
        <v>12.2</v>
      </c>
    </row>
    <row r="112">
      <c r="A112" s="38" t="inlineStr">
        <is>
          <t>Memphis</t>
        </is>
      </c>
      <c r="B112" s="186" t="n">
        <v>6.8</v>
      </c>
    </row>
    <row r="113">
      <c r="A113" s="38" t="inlineStr">
        <is>
          <t>Mercer</t>
        </is>
      </c>
      <c r="B113" s="186" t="n">
        <v>-1</v>
      </c>
    </row>
    <row r="114">
      <c r="A114" s="38" t="inlineStr">
        <is>
          <t>Miami</t>
        </is>
      </c>
      <c r="B114" s="186" t="n">
        <v>6.6</v>
      </c>
    </row>
    <row r="115">
      <c r="A115" s="38" t="inlineStr">
        <is>
          <t>Miami (OH)</t>
        </is>
      </c>
      <c r="B115" s="186" t="n">
        <v>0.4</v>
      </c>
    </row>
    <row r="116">
      <c r="A116" s="38" t="inlineStr">
        <is>
          <t>Michigan</t>
        </is>
      </c>
      <c r="B116" s="186" t="n">
        <v>18</v>
      </c>
    </row>
    <row r="117">
      <c r="A117" s="38" t="inlineStr">
        <is>
          <t>Michigan State</t>
        </is>
      </c>
      <c r="B117" s="186" t="n">
        <v>19.6</v>
      </c>
    </row>
    <row r="118">
      <c r="A118" s="38" t="inlineStr">
        <is>
          <t>Minnesota</t>
        </is>
      </c>
      <c r="B118" s="186" t="n">
        <v>8.1</v>
      </c>
    </row>
    <row r="119">
      <c r="A119" s="38" t="inlineStr">
        <is>
          <t>Mississippi State</t>
        </is>
      </c>
      <c r="B119" s="186" t="n">
        <v>13</v>
      </c>
    </row>
    <row r="120">
      <c r="A120" s="38" t="inlineStr">
        <is>
          <t>Missouri</t>
        </is>
      </c>
      <c r="B120" s="186" t="n">
        <v>5.4</v>
      </c>
    </row>
    <row r="121">
      <c r="A121" s="38" t="inlineStr">
        <is>
          <t>Missouri State</t>
        </is>
      </c>
      <c r="B121" s="186" t="n">
        <v>-0.3</v>
      </c>
    </row>
    <row r="122">
      <c r="A122" s="38" t="inlineStr">
        <is>
          <t>Montana</t>
        </is>
      </c>
      <c r="B122" s="186" t="n">
        <v>3.2</v>
      </c>
    </row>
    <row r="123">
      <c r="A123" s="38" t="inlineStr">
        <is>
          <t>Murray State</t>
        </is>
      </c>
      <c r="B123" s="186" t="n">
        <v>8.9</v>
      </c>
    </row>
    <row r="124">
      <c r="A124" s="38" t="inlineStr">
        <is>
          <t>NC State</t>
        </is>
      </c>
      <c r="B124" s="186" t="n">
        <v>12.4</v>
      </c>
    </row>
    <row r="125">
      <c r="A125" s="38" t="inlineStr">
        <is>
          <t>Nebraska</t>
        </is>
      </c>
      <c r="B125" s="186" t="n">
        <v>10.6</v>
      </c>
    </row>
    <row r="126">
      <c r="A126" s="38" t="inlineStr">
        <is>
          <t>Nevada</t>
        </is>
      </c>
      <c r="B126" s="186" t="n">
        <v>13.2</v>
      </c>
    </row>
    <row r="127">
      <c r="A127" s="38" t="inlineStr">
        <is>
          <t>New Mexico</t>
        </is>
      </c>
      <c r="B127" s="186" t="n">
        <v>-0.9</v>
      </c>
    </row>
    <row r="128">
      <c r="A128" s="38" t="inlineStr">
        <is>
          <t>New Mexico State</t>
        </is>
      </c>
      <c r="B128" s="186" t="n">
        <v>7.7</v>
      </c>
    </row>
    <row r="129">
      <c r="A129" s="38" t="inlineStr">
        <is>
          <t>NJIT</t>
        </is>
      </c>
      <c r="B129" s="186" t="n">
        <v>-0.5</v>
      </c>
    </row>
    <row r="130">
      <c r="A130" s="38" t="inlineStr">
        <is>
          <t>Norfolk State</t>
        </is>
      </c>
      <c r="B130" s="186" t="n">
        <v>-4.1</v>
      </c>
    </row>
    <row r="131">
      <c r="A131" s="38" t="inlineStr">
        <is>
          <t>North Carolina</t>
        </is>
      </c>
      <c r="B131" s="186" t="n">
        <v>19.3</v>
      </c>
    </row>
    <row r="132">
      <c r="A132" s="38" t="inlineStr">
        <is>
          <t>North Carolina Central</t>
        </is>
      </c>
      <c r="B132" s="188" t="n">
        <v>-5.4</v>
      </c>
    </row>
    <row r="133">
      <c r="A133" s="38" t="inlineStr">
        <is>
          <t>North Dakota</t>
        </is>
      </c>
      <c r="B133" s="186" t="n">
        <v>-4.5</v>
      </c>
    </row>
    <row r="134">
      <c r="A134" s="38" t="inlineStr">
        <is>
          <t>North Dakota State</t>
        </is>
      </c>
      <c r="B134" s="186" t="n">
        <v>-1.5</v>
      </c>
    </row>
    <row r="135">
      <c r="A135" s="38" t="inlineStr">
        <is>
          <t>North Florida</t>
        </is>
      </c>
      <c r="B135" s="186" t="n">
        <v>-2.6</v>
      </c>
    </row>
    <row r="136">
      <c r="A136" s="38" t="inlineStr">
        <is>
          <t>North Texas</t>
        </is>
      </c>
      <c r="B136" s="186" t="n">
        <v>1.1</v>
      </c>
    </row>
    <row r="137">
      <c r="A137" s="38" t="inlineStr">
        <is>
          <t>Northeastern</t>
        </is>
      </c>
      <c r="B137" s="186" t="n">
        <v>5.7</v>
      </c>
    </row>
    <row r="138">
      <c r="A138" s="38" t="inlineStr">
        <is>
          <t>Northern Colorado</t>
        </is>
      </c>
      <c r="B138" s="186" t="n">
        <v>0.6</v>
      </c>
    </row>
    <row r="139">
      <c r="A139" s="38" t="inlineStr">
        <is>
          <t>Northern Illinois</t>
        </is>
      </c>
      <c r="B139" s="186" t="n">
        <v>1</v>
      </c>
    </row>
    <row r="140">
      <c r="A140" s="38" t="inlineStr">
        <is>
          <t>Northern Iowa</t>
        </is>
      </c>
      <c r="B140" s="186" t="n">
        <v>-1.6</v>
      </c>
    </row>
    <row r="141">
      <c r="A141" s="38" t="inlineStr">
        <is>
          <t>Northern Kentucky</t>
        </is>
      </c>
      <c r="B141" s="186" t="n">
        <v>4.8</v>
      </c>
    </row>
    <row r="142">
      <c r="A142" s="38" t="inlineStr">
        <is>
          <t>Northwestern</t>
        </is>
      </c>
      <c r="B142" s="186" t="n">
        <v>6.7</v>
      </c>
    </row>
    <row r="143">
      <c r="A143" s="38" t="inlineStr">
        <is>
          <t>Notre Dame</t>
        </is>
      </c>
      <c r="B143" s="186" t="n">
        <v>5</v>
      </c>
    </row>
    <row r="144">
      <c r="A144" s="38" t="inlineStr">
        <is>
          <t>Oakland</t>
        </is>
      </c>
      <c r="B144" s="186" t="n">
        <v>-1.2</v>
      </c>
    </row>
    <row r="145">
      <c r="A145" s="38" t="inlineStr">
        <is>
          <t>Ohio</t>
        </is>
      </c>
      <c r="B145" s="186" t="n">
        <v>-2.3</v>
      </c>
    </row>
    <row r="146">
      <c r="A146" s="38" t="inlineStr">
        <is>
          <t>Ohio State</t>
        </is>
      </c>
      <c r="B146" s="186" t="n">
        <v>9.9</v>
      </c>
    </row>
    <row r="147">
      <c r="A147" s="38" t="inlineStr">
        <is>
          <t>Oklahoma</t>
        </is>
      </c>
      <c r="B147" s="186" t="n">
        <v>10.1</v>
      </c>
    </row>
    <row r="148">
      <c r="A148" s="38" t="inlineStr">
        <is>
          <t>Oklahoma State</t>
        </is>
      </c>
      <c r="B148" s="186" t="n">
        <v>3.5</v>
      </c>
    </row>
    <row r="149">
      <c r="A149" s="38" t="inlineStr">
        <is>
          <t>Old Dominion</t>
        </is>
      </c>
      <c r="B149" s="186" t="n">
        <v>3.6</v>
      </c>
    </row>
    <row r="150">
      <c r="A150" s="38" t="inlineStr">
        <is>
          <t>Ole Miss</t>
        </is>
      </c>
      <c r="B150" s="186" t="n">
        <v>8.9</v>
      </c>
    </row>
    <row r="151">
      <c r="A151" s="38" t="inlineStr">
        <is>
          <t>Omaha</t>
        </is>
      </c>
      <c r="B151" s="186" t="n">
        <v>0.1</v>
      </c>
    </row>
    <row r="152">
      <c r="A152" s="38" t="inlineStr">
        <is>
          <t>Oregon</t>
        </is>
      </c>
      <c r="B152" s="186" t="n">
        <v>10.1</v>
      </c>
    </row>
    <row r="153">
      <c r="A153" s="38" t="inlineStr">
        <is>
          <t>Oregon State</t>
        </is>
      </c>
      <c r="B153" s="186" t="n">
        <v>5</v>
      </c>
    </row>
    <row r="154">
      <c r="A154" s="38" t="inlineStr">
        <is>
          <t>Pacific</t>
        </is>
      </c>
      <c r="B154" s="186" t="n">
        <v>-3.4</v>
      </c>
    </row>
    <row r="155">
      <c r="A155" s="38" t="inlineStr">
        <is>
          <t>Penn State</t>
        </is>
      </c>
      <c r="B155" s="186" t="n">
        <v>8.9</v>
      </c>
    </row>
    <row r="156">
      <c r="A156" s="38" t="inlineStr">
        <is>
          <t>Pennsylvania</t>
        </is>
      </c>
      <c r="B156" s="186" t="n">
        <v>3.2</v>
      </c>
    </row>
    <row r="157">
      <c r="A157" s="38" t="inlineStr">
        <is>
          <t>Pepperdine</t>
        </is>
      </c>
      <c r="B157" s="186" t="n">
        <v>0.5</v>
      </c>
    </row>
    <row r="158">
      <c r="A158" s="38" t="inlineStr">
        <is>
          <t>Pittsburgh</t>
        </is>
      </c>
      <c r="B158" s="186" t="n">
        <v>4.8</v>
      </c>
    </row>
    <row r="159">
      <c r="A159" s="38" t="inlineStr">
        <is>
          <t>Portland State</t>
        </is>
      </c>
      <c r="B159" s="186" t="n">
        <v>-4.2</v>
      </c>
    </row>
    <row r="160">
      <c r="A160" s="38" t="inlineStr">
        <is>
          <t>Prairie View A&amp;M</t>
        </is>
      </c>
      <c r="B160" s="186" t="n">
        <v>-2.6</v>
      </c>
    </row>
    <row r="161">
      <c r="A161" s="38" t="inlineStr">
        <is>
          <t>Presbyterian</t>
        </is>
      </c>
      <c r="B161" s="186" t="n">
        <v>-0.3</v>
      </c>
    </row>
    <row r="162">
      <c r="A162" s="38" t="inlineStr">
        <is>
          <t>Princeton</t>
        </is>
      </c>
      <c r="B162" s="186" t="n">
        <v>-0.4</v>
      </c>
    </row>
    <row r="163">
      <c r="A163" s="38" t="inlineStr">
        <is>
          <t>Providence</t>
        </is>
      </c>
      <c r="B163" s="186" t="n">
        <v>6.7</v>
      </c>
    </row>
    <row r="164">
      <c r="A164" s="38" t="inlineStr">
        <is>
          <t>Purdue</t>
        </is>
      </c>
      <c r="B164" s="186" t="n">
        <v>16.5</v>
      </c>
    </row>
    <row r="165">
      <c r="A165" s="38" t="inlineStr">
        <is>
          <t>Purdue Fort Wayne</t>
        </is>
      </c>
      <c r="B165" s="186" t="n">
        <v>0.6</v>
      </c>
    </row>
    <row r="166">
      <c r="A166" s="38" t="inlineStr">
        <is>
          <t>Quinnipiac</t>
        </is>
      </c>
      <c r="B166" s="186" t="n">
        <v>-2.8</v>
      </c>
    </row>
    <row r="167">
      <c r="A167" s="38" t="inlineStr">
        <is>
          <t>Radford</t>
        </is>
      </c>
      <c r="B167" s="186" t="n">
        <v>2.1</v>
      </c>
    </row>
    <row r="168">
      <c r="A168" s="38" t="inlineStr">
        <is>
          <t>Rhode Island</t>
        </is>
      </c>
      <c r="B168" s="186" t="n">
        <v>2.6</v>
      </c>
    </row>
    <row r="169">
      <c r="A169" s="38" t="inlineStr">
        <is>
          <t>Richmond</t>
        </is>
      </c>
      <c r="B169" s="186" t="n">
        <v>-0.5</v>
      </c>
    </row>
    <row r="170">
      <c r="A170" s="38" t="inlineStr">
        <is>
          <t>Rider</t>
        </is>
      </c>
      <c r="B170" s="186" t="n">
        <v>-0.9</v>
      </c>
    </row>
    <row r="171">
      <c r="A171" s="38" t="inlineStr">
        <is>
          <t>Robert Morris</t>
        </is>
      </c>
      <c r="B171" s="186" t="n">
        <v>-3.7</v>
      </c>
    </row>
    <row r="172">
      <c r="A172" s="38" t="inlineStr">
        <is>
          <t>Rutgers</t>
        </is>
      </c>
      <c r="B172" s="186" t="n">
        <v>5.4</v>
      </c>
    </row>
    <row r="173">
      <c r="A173" s="38" t="inlineStr">
        <is>
          <t>Sacramento State</t>
        </is>
      </c>
      <c r="B173" s="186" t="n">
        <v>-4.2</v>
      </c>
    </row>
    <row r="174">
      <c r="A174" s="38" t="inlineStr">
        <is>
          <t>Sacred Heart</t>
        </is>
      </c>
      <c r="B174" s="186" t="n">
        <v>-3.5</v>
      </c>
    </row>
    <row r="175">
      <c r="A175" s="38" t="inlineStr">
        <is>
          <t>Saint Joseph's</t>
        </is>
      </c>
      <c r="B175" s="186" t="n">
        <v>-0.6</v>
      </c>
    </row>
    <row r="176">
      <c r="A176" s="38" t="inlineStr">
        <is>
          <t>Saint Louis</t>
        </is>
      </c>
      <c r="B176" s="186" t="n">
        <v>4.5</v>
      </c>
    </row>
    <row r="177">
      <c r="A177" s="38" t="inlineStr">
        <is>
          <t>Saint Mary's</t>
        </is>
      </c>
      <c r="B177" s="186" t="n">
        <v>10.7</v>
      </c>
    </row>
    <row r="178">
      <c r="A178" s="38" t="inlineStr">
        <is>
          <t>Sam Houston State</t>
        </is>
      </c>
      <c r="B178" s="186" t="n">
        <v>-1</v>
      </c>
    </row>
    <row r="179">
      <c r="A179" s="38" t="inlineStr">
        <is>
          <t>Samford</t>
        </is>
      </c>
      <c r="B179" s="186" t="n">
        <v>0.6</v>
      </c>
    </row>
    <row r="180">
      <c r="A180" s="38" t="inlineStr">
        <is>
          <t>San Diego</t>
        </is>
      </c>
      <c r="B180" s="186" t="n">
        <v>5.4</v>
      </c>
    </row>
    <row r="181">
      <c r="A181" s="38" t="inlineStr">
        <is>
          <t>San Diego State</t>
        </is>
      </c>
      <c r="B181" s="186" t="n">
        <v>4.1</v>
      </c>
    </row>
    <row r="182">
      <c r="A182" s="38" t="inlineStr">
        <is>
          <t>San Francisco</t>
        </is>
      </c>
      <c r="B182" s="186" t="n">
        <v>7.2</v>
      </c>
    </row>
    <row r="183">
      <c r="A183" s="38" t="inlineStr">
        <is>
          <t>Santa Clara</t>
        </is>
      </c>
      <c r="B183" s="186" t="n">
        <v>-2.5</v>
      </c>
    </row>
    <row r="184">
      <c r="A184" s="38" t="inlineStr">
        <is>
          <t>Seattle</t>
        </is>
      </c>
      <c r="B184" s="186" t="n">
        <v>-2</v>
      </c>
    </row>
    <row r="185">
      <c r="A185" s="38" t="inlineStr">
        <is>
          <t>Seton Hall</t>
        </is>
      </c>
      <c r="B185" s="186" t="n">
        <v>8.300000000000001</v>
      </c>
    </row>
    <row r="186">
      <c r="A186" s="38" t="inlineStr">
        <is>
          <t>SMU</t>
        </is>
      </c>
      <c r="B186" s="186" t="n">
        <v>4.3</v>
      </c>
    </row>
    <row r="187">
      <c r="A187" s="38" t="inlineStr">
        <is>
          <t>South Alabama</t>
        </is>
      </c>
      <c r="B187" s="186" t="n">
        <v>-2.6</v>
      </c>
    </row>
    <row r="188">
      <c r="A188" s="38" t="inlineStr">
        <is>
          <t>South Carolina</t>
        </is>
      </c>
      <c r="B188" s="186" t="n">
        <v>5.9</v>
      </c>
    </row>
    <row r="189">
      <c r="A189" s="38" t="inlineStr">
        <is>
          <t>South Dakota</t>
        </is>
      </c>
      <c r="B189" s="186" t="n">
        <v>-3.2</v>
      </c>
    </row>
    <row r="190">
      <c r="A190" s="38" t="inlineStr">
        <is>
          <t>South Dakota State</t>
        </is>
      </c>
      <c r="B190" s="186" t="n">
        <v>5.5</v>
      </c>
    </row>
    <row r="191">
      <c r="A191" s="38" t="inlineStr">
        <is>
          <t>South Florida</t>
        </is>
      </c>
      <c r="B191" s="186" t="n">
        <v>2.9</v>
      </c>
    </row>
    <row r="192">
      <c r="A192" s="38" t="inlineStr">
        <is>
          <t>Southern Illinois</t>
        </is>
      </c>
      <c r="B192" s="186" t="n">
        <v>1.3</v>
      </c>
    </row>
    <row r="193">
      <c r="A193" s="38" t="inlineStr">
        <is>
          <t>Southern Miss</t>
        </is>
      </c>
      <c r="B193" s="186" t="n">
        <v>2.9</v>
      </c>
    </row>
    <row r="194">
      <c r="A194" s="38" t="inlineStr">
        <is>
          <t>St. Bonaventure</t>
        </is>
      </c>
      <c r="B194" s="186" t="n">
        <v>3.6</v>
      </c>
    </row>
    <row r="195">
      <c r="A195" s="38" t="inlineStr">
        <is>
          <t>St. Francis (PA)</t>
        </is>
      </c>
      <c r="B195" s="186" t="n">
        <v>-2.8</v>
      </c>
    </row>
    <row r="196">
      <c r="A196" s="38" t="inlineStr">
        <is>
          <t>St. John's</t>
        </is>
      </c>
      <c r="B196" s="186" t="n">
        <v>6.7</v>
      </c>
    </row>
    <row r="197">
      <c r="A197" s="38" t="inlineStr">
        <is>
          <t>Stanford</t>
        </is>
      </c>
      <c r="B197" s="186" t="n">
        <v>2.9</v>
      </c>
    </row>
    <row r="198">
      <c r="A198" s="38" t="inlineStr">
        <is>
          <t>Stony Brook</t>
        </is>
      </c>
      <c r="B198" s="186" t="n">
        <v>0.9</v>
      </c>
    </row>
    <row r="199">
      <c r="A199" s="38" t="inlineStr">
        <is>
          <t>Syracuse</t>
        </is>
      </c>
      <c r="B199" s="186" t="n">
        <v>10.9</v>
      </c>
    </row>
    <row r="200">
      <c r="A200" s="38" t="inlineStr">
        <is>
          <t>TCU</t>
        </is>
      </c>
      <c r="B200" s="186" t="n">
        <v>8.800000000000001</v>
      </c>
    </row>
    <row r="201">
      <c r="A201" s="38" t="inlineStr">
        <is>
          <t>Temple</t>
        </is>
      </c>
      <c r="B201" s="186" t="n">
        <v>6.7</v>
      </c>
    </row>
    <row r="202">
      <c r="A202" s="38" t="inlineStr">
        <is>
          <t>Tennessee</t>
        </is>
      </c>
      <c r="B202" s="186" t="n">
        <v>17.9</v>
      </c>
    </row>
    <row r="203">
      <c r="A203" s="38" t="inlineStr">
        <is>
          <t>Texas</t>
        </is>
      </c>
      <c r="B203" s="186" t="n">
        <v>11.2</v>
      </c>
    </row>
    <row r="204">
      <c r="A204" s="38" t="inlineStr">
        <is>
          <t>Texas A&amp;M</t>
        </is>
      </c>
      <c r="B204" s="186" t="n">
        <v>4.2</v>
      </c>
    </row>
    <row r="205">
      <c r="A205" s="38" t="inlineStr">
        <is>
          <t>Texas Southern</t>
        </is>
      </c>
      <c r="B205" s="186" t="n">
        <v>-2</v>
      </c>
    </row>
    <row r="206">
      <c r="A206" s="38" t="inlineStr">
        <is>
          <t>Texas State</t>
        </is>
      </c>
      <c r="B206" s="186" t="n">
        <v>3.7</v>
      </c>
    </row>
    <row r="207">
      <c r="A207" s="38" t="inlineStr">
        <is>
          <t>Texas Tech</t>
        </is>
      </c>
      <c r="B207" s="186" t="n">
        <v>16.9</v>
      </c>
    </row>
    <row r="208">
      <c r="A208" s="38" t="inlineStr">
        <is>
          <t>The Citadel</t>
        </is>
      </c>
      <c r="B208" s="186" t="n">
        <v>-4.1</v>
      </c>
    </row>
    <row r="209">
      <c r="A209" s="38" t="inlineStr">
        <is>
          <t>Toledo</t>
        </is>
      </c>
      <c r="B209" s="186" t="n">
        <v>7.5</v>
      </c>
    </row>
    <row r="210">
      <c r="A210" s="38" t="inlineStr">
        <is>
          <t>Troy</t>
        </is>
      </c>
      <c r="B210" s="186" t="n">
        <v>-3.6</v>
      </c>
    </row>
    <row r="211">
      <c r="A211" s="38" t="inlineStr">
        <is>
          <t>Tulsa</t>
        </is>
      </c>
      <c r="B211" s="186" t="n">
        <v>2.6</v>
      </c>
    </row>
    <row r="212">
      <c r="A212" s="38" t="inlineStr">
        <is>
          <t>UAB</t>
        </is>
      </c>
      <c r="B212" s="186" t="n">
        <v>-0.4</v>
      </c>
    </row>
    <row r="213">
      <c r="A213" s="38" t="inlineStr">
        <is>
          <t>UC Irvine</t>
        </is>
      </c>
      <c r="B213" s="186" t="n">
        <v>5.6</v>
      </c>
    </row>
    <row r="214">
      <c r="A214" s="38" t="inlineStr">
        <is>
          <t>UC Santa Barbara</t>
        </is>
      </c>
      <c r="B214" s="186" t="n">
        <v>1.5</v>
      </c>
    </row>
    <row r="215">
      <c r="A215" s="38" t="inlineStr">
        <is>
          <t>UCF</t>
        </is>
      </c>
      <c r="B215" s="186" t="n">
        <v>9.6</v>
      </c>
    </row>
    <row r="216">
      <c r="A216" s="38" t="inlineStr">
        <is>
          <t>UCLA</t>
        </is>
      </c>
      <c r="B216" s="186" t="n">
        <v>3.9</v>
      </c>
    </row>
    <row r="217">
      <c r="A217" s="38" t="inlineStr">
        <is>
          <t>UConn</t>
        </is>
      </c>
      <c r="B217" s="186" t="n">
        <v>4.3</v>
      </c>
    </row>
    <row r="218">
      <c r="A218" s="38" t="inlineStr">
        <is>
          <t>UIC</t>
        </is>
      </c>
      <c r="B218" s="186" t="n">
        <v>-2.9</v>
      </c>
    </row>
    <row r="219">
      <c r="A219" s="38" t="inlineStr">
        <is>
          <t>UL Monroe</t>
        </is>
      </c>
      <c r="B219" s="186" t="n">
        <v>1.7</v>
      </c>
    </row>
    <row r="220">
      <c r="A220" s="38" t="inlineStr">
        <is>
          <t>UMass</t>
        </is>
      </c>
      <c r="B220" s="186" t="n">
        <v>-1.9</v>
      </c>
    </row>
    <row r="221">
      <c r="A221" s="38" t="inlineStr">
        <is>
          <t>UMass Lowell</t>
        </is>
      </c>
      <c r="B221" s="186" t="n">
        <v>-4</v>
      </c>
    </row>
    <row r="222">
      <c r="A222" s="38" t="inlineStr">
        <is>
          <t>UMBC</t>
        </is>
      </c>
      <c r="B222" s="186" t="n">
        <v>-1.9</v>
      </c>
    </row>
    <row r="223">
      <c r="A223" s="38" t="inlineStr">
        <is>
          <t>UNC Greensboro</t>
        </is>
      </c>
      <c r="B223" s="186" t="n">
        <v>6</v>
      </c>
    </row>
    <row r="224">
      <c r="A224" s="38" t="inlineStr">
        <is>
          <t>UNLV</t>
        </is>
      </c>
      <c r="B224" s="186" t="n">
        <v>1.3</v>
      </c>
    </row>
    <row r="225">
      <c r="A225" s="38" t="inlineStr">
        <is>
          <t>USC</t>
        </is>
      </c>
      <c r="B225" s="186" t="n">
        <v>5.3</v>
      </c>
    </row>
    <row r="226">
      <c r="A226" s="38" t="inlineStr">
        <is>
          <t>UT Arlington</t>
        </is>
      </c>
      <c r="B226" s="186" t="n">
        <v>-0.8</v>
      </c>
    </row>
    <row r="227">
      <c r="A227" s="38" t="inlineStr">
        <is>
          <t>UT Rio Grande Valley</t>
        </is>
      </c>
      <c r="B227" s="186" t="n">
        <v>-2.7</v>
      </c>
    </row>
    <row r="228">
      <c r="A228" s="38" t="inlineStr">
        <is>
          <t>Utah</t>
        </is>
      </c>
      <c r="B228" s="186" t="n">
        <v>2.7</v>
      </c>
    </row>
    <row r="229">
      <c r="A229" s="38" t="inlineStr">
        <is>
          <t>Utah State</t>
        </is>
      </c>
      <c r="B229" s="186" t="n">
        <v>9.300000000000001</v>
      </c>
    </row>
    <row r="230">
      <c r="A230" s="38" t="inlineStr">
        <is>
          <t>Utah Valley</t>
        </is>
      </c>
      <c r="B230" s="186" t="n">
        <v>2.8</v>
      </c>
    </row>
    <row r="231">
      <c r="A231" s="38" t="inlineStr">
        <is>
          <t>UTSA</t>
        </is>
      </c>
      <c r="B231" s="186" t="n">
        <v>-2.3</v>
      </c>
    </row>
    <row r="232">
      <c r="A232" s="38" t="inlineStr">
        <is>
          <t>Valparaiso</t>
        </is>
      </c>
      <c r="B232" s="186" t="n">
        <v>-2.7</v>
      </c>
    </row>
    <row r="233">
      <c r="A233" s="38" t="inlineStr">
        <is>
          <t>Vanderbilt</t>
        </is>
      </c>
      <c r="B233" s="186" t="n">
        <v>0.9</v>
      </c>
    </row>
    <row r="234">
      <c r="A234" s="38" t="inlineStr">
        <is>
          <t>VCU</t>
        </is>
      </c>
      <c r="B234" s="186" t="n">
        <v>10.4</v>
      </c>
    </row>
    <row r="235">
      <c r="A235" s="38" t="inlineStr">
        <is>
          <t>Vermont</t>
        </is>
      </c>
      <c r="B235" s="186" t="n">
        <v>8</v>
      </c>
    </row>
    <row r="236">
      <c r="A236" s="38" t="inlineStr">
        <is>
          <t>Villanova</t>
        </is>
      </c>
      <c r="B236" s="186" t="n">
        <v>13.1</v>
      </c>
    </row>
    <row r="237">
      <c r="A237" s="38" t="inlineStr">
        <is>
          <t>Virginia</t>
        </is>
      </c>
      <c r="B237" s="186" t="n">
        <v>23.7</v>
      </c>
    </row>
    <row r="238">
      <c r="A238" s="38" t="inlineStr">
        <is>
          <t>Virginia Tech</t>
        </is>
      </c>
      <c r="B238" s="186" t="n">
        <v>16.5</v>
      </c>
    </row>
    <row r="239">
      <c r="A239" s="38" t="inlineStr">
        <is>
          <t>Wake Forest</t>
        </is>
      </c>
      <c r="B239" s="186" t="n">
        <v>0.1</v>
      </c>
    </row>
    <row r="240">
      <c r="A240" s="38" t="inlineStr">
        <is>
          <t>Washington</t>
        </is>
      </c>
      <c r="B240" s="186" t="n">
        <v>8.4</v>
      </c>
    </row>
    <row r="241">
      <c r="A241" s="38" t="inlineStr">
        <is>
          <t>Washington State</t>
        </is>
      </c>
      <c r="B241" s="186" t="n">
        <v>-4</v>
      </c>
    </row>
    <row r="242">
      <c r="A242" s="38" t="inlineStr">
        <is>
          <t>Weber State</t>
        </is>
      </c>
      <c r="B242" s="186" t="n">
        <v>-1.6</v>
      </c>
    </row>
    <row r="243">
      <c r="A243" s="38" t="inlineStr">
        <is>
          <t>West Virginia</t>
        </is>
      </c>
      <c r="B243" s="186" t="n">
        <v>4.9</v>
      </c>
    </row>
    <row r="244">
      <c r="A244" s="38" t="inlineStr">
        <is>
          <t>Western Kentucky</t>
        </is>
      </c>
      <c r="B244" s="186" t="n">
        <v>3.2</v>
      </c>
    </row>
    <row r="245">
      <c r="A245" s="38" t="inlineStr">
        <is>
          <t>Wichita State</t>
        </is>
      </c>
      <c r="B245" s="186" t="n">
        <v>4.8</v>
      </c>
    </row>
    <row r="246">
      <c r="A246" s="38" t="inlineStr">
        <is>
          <t>William &amp; Mary</t>
        </is>
      </c>
      <c r="B246" s="186" t="n">
        <v>-3.1</v>
      </c>
    </row>
    <row r="247">
      <c r="A247" s="38" t="inlineStr">
        <is>
          <t>Winthrop</t>
        </is>
      </c>
      <c r="B247" s="186" t="n">
        <v>-0.3</v>
      </c>
    </row>
    <row r="248">
      <c r="A248" s="38" t="inlineStr">
        <is>
          <t>Wisconsin</t>
        </is>
      </c>
      <c r="B248" s="186" t="n">
        <v>14.8</v>
      </c>
    </row>
    <row r="249">
      <c r="A249" s="38" t="inlineStr">
        <is>
          <t>Wofford</t>
        </is>
      </c>
      <c r="B249" s="186" t="n">
        <v>14.1</v>
      </c>
    </row>
    <row r="250">
      <c r="A250" s="38" t="inlineStr">
        <is>
          <t>Wright State</t>
        </is>
      </c>
      <c r="B250" s="186" t="n">
        <v>2.9</v>
      </c>
    </row>
    <row r="251" ht="15.75" customHeight="1" thickBot="1">
      <c r="A251" s="38" t="inlineStr">
        <is>
          <t>Xavier</t>
        </is>
      </c>
      <c r="B251" s="186" t="n">
        <v>6.5</v>
      </c>
    </row>
    <row r="252">
      <c r="A252" s="38" t="inlineStr">
        <is>
          <t>Yale</t>
        </is>
      </c>
      <c r="B252" s="189" t="n">
        <v>6.1</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65"/>
  <sheetViews>
    <sheetView workbookViewId="0">
      <selection activeCell="A1" sqref="A1:XFD1048576"/>
    </sheetView>
  </sheetViews>
  <sheetFormatPr baseColWidth="8" defaultRowHeight="15"/>
  <cols>
    <col width="23.28515625" bestFit="1" customWidth="1" style="38" min="1" max="1"/>
    <col width="4.5703125" bestFit="1" customWidth="1" style="38" min="2" max="7"/>
    <col width="9.140625" customWidth="1" style="38" min="8" max="16384"/>
  </cols>
  <sheetData>
    <row r="1">
      <c r="A1" s="39" t="inlineStr">
        <is>
          <t>Team</t>
        </is>
      </c>
      <c r="B1" s="39" t="inlineStr">
        <is>
          <t>R64</t>
        </is>
      </c>
      <c r="C1" s="39" t="inlineStr">
        <is>
          <t>R32</t>
        </is>
      </c>
      <c r="D1" s="39" t="inlineStr">
        <is>
          <t>S16</t>
        </is>
      </c>
      <c r="E1" s="39" t="inlineStr">
        <is>
          <t>E8</t>
        </is>
      </c>
      <c r="F1" s="39" t="inlineStr">
        <is>
          <t>F4</t>
        </is>
      </c>
      <c r="G1" s="39" t="inlineStr">
        <is>
          <t>C6</t>
        </is>
      </c>
    </row>
    <row r="2">
      <c r="A2" s="39" t="inlineStr">
        <is>
          <t>Duke</t>
        </is>
      </c>
      <c r="B2" s="48" t="n">
        <v>0.99</v>
      </c>
      <c r="C2" s="48" t="n">
        <v>0.9</v>
      </c>
      <c r="D2" s="48" t="n">
        <v>0.72</v>
      </c>
      <c r="E2" s="48" t="n">
        <v>0.53</v>
      </c>
      <c r="F2" s="48" t="n">
        <v>0.32</v>
      </c>
      <c r="G2" s="48" t="n">
        <v>0.184</v>
      </c>
    </row>
    <row r="3">
      <c r="A3" s="39" t="inlineStr">
        <is>
          <t>N Dakota St./NC Central</t>
        </is>
      </c>
      <c r="B3" s="48" t="n">
        <v>0.01000000000000001</v>
      </c>
      <c r="C3" s="48" t="n">
        <v>0.01</v>
      </c>
      <c r="D3" s="48" t="n">
        <v>0.003</v>
      </c>
      <c r="E3" s="48" t="n">
        <v>0.0002</v>
      </c>
      <c r="F3" s="48" t="n">
        <v>0.0006666666666666666</v>
      </c>
      <c r="G3" s="48" t="n">
        <v>0.0001</v>
      </c>
    </row>
    <row r="4">
      <c r="A4" s="39" t="inlineStr">
        <is>
          <t>VCU</t>
        </is>
      </c>
      <c r="B4" s="48" t="n">
        <v>0.53</v>
      </c>
      <c r="C4" s="48" t="n">
        <v>0.05</v>
      </c>
      <c r="D4" s="48" t="n">
        <v>0.02</v>
      </c>
      <c r="E4" s="48" t="n">
        <v>0.008</v>
      </c>
      <c r="F4" s="48" t="n">
        <v>0.002</v>
      </c>
      <c r="G4" s="48" t="n">
        <v>0.0001</v>
      </c>
    </row>
    <row r="5">
      <c r="A5" s="39" t="inlineStr">
        <is>
          <t>UCF</t>
        </is>
      </c>
      <c r="B5" s="48" t="n">
        <v>0.47</v>
      </c>
      <c r="C5" s="48" t="n">
        <v>0.04</v>
      </c>
      <c r="D5" s="48" t="n">
        <v>0.01</v>
      </c>
      <c r="E5" s="48" t="n">
        <v>0.004</v>
      </c>
      <c r="F5" s="48" t="n">
        <v>0.001</v>
      </c>
      <c r="G5" s="48" t="n">
        <v>0.0001</v>
      </c>
    </row>
    <row r="6">
      <c r="A6" s="39" t="inlineStr">
        <is>
          <t>Mississippi State</t>
        </is>
      </c>
      <c r="B6" s="48" t="n">
        <v>0.82</v>
      </c>
      <c r="C6" s="48" t="n">
        <v>0.38</v>
      </c>
      <c r="D6" s="48" t="n">
        <v>0.08</v>
      </c>
      <c r="E6" s="48" t="n">
        <v>0.03</v>
      </c>
      <c r="F6" s="48" t="n">
        <v>0.01</v>
      </c>
      <c r="G6" s="48" t="n">
        <v>0.005</v>
      </c>
    </row>
    <row r="7">
      <c r="A7" s="39" t="inlineStr">
        <is>
          <t>Liberty</t>
        </is>
      </c>
      <c r="B7" s="48" t="n">
        <v>0.18</v>
      </c>
      <c r="C7" s="48" t="n">
        <v>0.04</v>
      </c>
      <c r="D7" s="48" t="n">
        <v>0.004</v>
      </c>
      <c r="E7" s="48" t="n">
        <v>0.0002</v>
      </c>
      <c r="F7" s="48" t="n">
        <v>0.0006666666666666666</v>
      </c>
      <c r="G7" s="48" t="n">
        <v>0.0001</v>
      </c>
    </row>
    <row r="8">
      <c r="A8" s="39" t="inlineStr">
        <is>
          <t>Virginia Tech</t>
        </is>
      </c>
      <c r="B8" s="48" t="n">
        <v>0.87</v>
      </c>
      <c r="C8" s="48" t="n">
        <v>0.55</v>
      </c>
      <c r="D8" s="48" t="n">
        <v>0.16</v>
      </c>
      <c r="E8" s="48" t="n">
        <v>0.09</v>
      </c>
      <c r="F8" s="48" t="n">
        <v>0.04</v>
      </c>
      <c r="G8" s="48" t="n">
        <v>0.02</v>
      </c>
    </row>
    <row r="9">
      <c r="A9" s="39" t="inlineStr">
        <is>
          <t>Saint Louis</t>
        </is>
      </c>
      <c r="B9" s="48" t="n">
        <v>0.13</v>
      </c>
      <c r="C9" s="48" t="n">
        <v>0.03</v>
      </c>
      <c r="D9" s="48" t="n">
        <v>0.003</v>
      </c>
      <c r="E9" s="48" t="n">
        <v>0.0002</v>
      </c>
      <c r="F9" s="48" t="n">
        <v>0.0006666666666666666</v>
      </c>
      <c r="G9" s="48" t="n">
        <v>0.0001</v>
      </c>
    </row>
    <row r="10">
      <c r="A10" s="39" t="inlineStr">
        <is>
          <t>Maryland</t>
        </is>
      </c>
      <c r="B10" s="48" t="n">
        <v>0.64</v>
      </c>
      <c r="C10" s="48" t="n">
        <v>0.32</v>
      </c>
      <c r="D10" s="48" t="n">
        <v>0.13</v>
      </c>
      <c r="E10" s="48" t="n">
        <v>0.04</v>
      </c>
      <c r="F10" s="48" t="n">
        <v>0.01</v>
      </c>
      <c r="G10" s="48" t="n">
        <v>0.004</v>
      </c>
    </row>
    <row r="11">
      <c r="A11" s="39" t="inlineStr">
        <is>
          <t>Belmont/Temple</t>
        </is>
      </c>
      <c r="B11" s="48" t="n">
        <v>0.36</v>
      </c>
      <c r="C11" s="48" t="n">
        <v>0.14</v>
      </c>
      <c r="D11" s="48" t="n">
        <v>0.015</v>
      </c>
      <c r="E11" s="48" t="n">
        <v>0.003</v>
      </c>
      <c r="F11" s="48" t="n">
        <v>0.001</v>
      </c>
      <c r="G11" s="48" t="n">
        <v>0.0001</v>
      </c>
    </row>
    <row r="12">
      <c r="A12" s="39" t="inlineStr">
        <is>
          <t>LSU</t>
        </is>
      </c>
      <c r="B12" s="48" t="n">
        <v>0.85</v>
      </c>
      <c r="C12" s="48" t="n">
        <v>0.5</v>
      </c>
      <c r="D12" s="48" t="n">
        <v>0.16</v>
      </c>
      <c r="E12" s="48" t="n">
        <v>0.04</v>
      </c>
      <c r="F12" s="48" t="n">
        <v>0.01</v>
      </c>
      <c r="G12" s="48" t="n">
        <v>0.005</v>
      </c>
    </row>
    <row r="13">
      <c r="A13" s="39" t="inlineStr">
        <is>
          <t>Yale</t>
        </is>
      </c>
      <c r="B13" s="48" t="n">
        <v>0.15</v>
      </c>
      <c r="C13" s="48" t="n">
        <v>0.04</v>
      </c>
      <c r="D13" s="48" t="n">
        <v>0.006</v>
      </c>
      <c r="E13" s="48" t="n">
        <v>0.0002</v>
      </c>
      <c r="F13" s="48" t="n">
        <v>0.0006666666666666666</v>
      </c>
      <c r="G13" s="48" t="n">
        <v>0.0001</v>
      </c>
    </row>
    <row r="14">
      <c r="A14" s="39" t="inlineStr">
        <is>
          <t>Louisville</t>
        </is>
      </c>
      <c r="B14" s="48" t="n">
        <v>0.66</v>
      </c>
      <c r="C14" s="48" t="n">
        <v>0.19</v>
      </c>
      <c r="D14" s="48" t="n">
        <v>0.11</v>
      </c>
      <c r="E14" s="48" t="n">
        <v>0.03</v>
      </c>
      <c r="F14" s="48" t="n">
        <v>0.01</v>
      </c>
      <c r="G14" s="48" t="n">
        <v>0.004</v>
      </c>
    </row>
    <row r="15">
      <c r="A15" s="39" t="inlineStr">
        <is>
          <t>Minnesota</t>
        </is>
      </c>
      <c r="B15" s="48" t="n">
        <v>0.34</v>
      </c>
      <c r="C15" s="48" t="n">
        <v>0.07000000000000001</v>
      </c>
      <c r="D15" s="48" t="n">
        <v>0.02</v>
      </c>
      <c r="E15" s="48" t="n">
        <v>0.004</v>
      </c>
      <c r="F15" s="48" t="n">
        <v>0.001</v>
      </c>
      <c r="G15" s="48" t="n">
        <v>0.0001</v>
      </c>
    </row>
    <row r="16">
      <c r="A16" s="39" t="inlineStr">
        <is>
          <t>Michigan State</t>
        </is>
      </c>
      <c r="B16" s="48" t="n">
        <v>0.96</v>
      </c>
      <c r="C16" s="48" t="n">
        <v>0.73</v>
      </c>
      <c r="D16" s="48" t="n">
        <v>0.54</v>
      </c>
      <c r="E16" s="48" t="n">
        <v>0.22</v>
      </c>
      <c r="F16" s="48" t="n">
        <v>0.12</v>
      </c>
      <c r="G16" s="48" t="n">
        <v>0.07000000000000001</v>
      </c>
    </row>
    <row r="17">
      <c r="A17" s="39" t="inlineStr">
        <is>
          <t>Bradley</t>
        </is>
      </c>
      <c r="B17" s="48" t="n">
        <v>0.04</v>
      </c>
      <c r="C17" s="48" t="n">
        <v>0.01</v>
      </c>
      <c r="D17" s="48" t="n">
        <v>0.019</v>
      </c>
      <c r="E17" s="48" t="n">
        <v>0.0002</v>
      </c>
      <c r="F17" s="48" t="n">
        <v>0.0006666666666666666</v>
      </c>
      <c r="G17" s="48" t="n">
        <v>0.0001</v>
      </c>
    </row>
    <row r="18">
      <c r="A18" s="39" t="inlineStr">
        <is>
          <t>Gonzaga</t>
        </is>
      </c>
      <c r="B18" s="48" t="n">
        <v>0.99</v>
      </c>
      <c r="C18" s="48" t="n">
        <v>0.869</v>
      </c>
      <c r="D18" s="48" t="n">
        <v>0.6899999999999999</v>
      </c>
      <c r="E18" s="48" t="n">
        <v>0.48</v>
      </c>
      <c r="F18" s="48" t="n">
        <v>0.26</v>
      </c>
      <c r="G18" s="48" t="n">
        <v>0.15</v>
      </c>
    </row>
    <row r="19">
      <c r="A19" s="39" t="inlineStr">
        <is>
          <t>F Dickinson/P View A&amp;M</t>
        </is>
      </c>
      <c r="B19" s="48" t="n">
        <v>0.01000000000000001</v>
      </c>
      <c r="C19" s="48" t="n">
        <v>0.001</v>
      </c>
      <c r="D19" s="48" t="n">
        <v>0.001</v>
      </c>
      <c r="E19" s="48" t="n">
        <v>0.0005</v>
      </c>
      <c r="F19" s="48" t="n">
        <v>0.0006666666666666666</v>
      </c>
      <c r="G19" s="48" t="n">
        <v>0.0001</v>
      </c>
    </row>
    <row r="20">
      <c r="A20" s="39" t="inlineStr">
        <is>
          <t>Syracuse</t>
        </is>
      </c>
      <c r="B20" s="48" t="n">
        <v>0.52</v>
      </c>
      <c r="C20" s="48" t="n">
        <v>0.07000000000000001</v>
      </c>
      <c r="D20" s="48" t="n">
        <v>0.03</v>
      </c>
      <c r="E20" s="48" t="n">
        <v>0.01</v>
      </c>
      <c r="F20" s="48" t="n">
        <v>0.004</v>
      </c>
      <c r="G20" s="48" t="n">
        <v>0.001</v>
      </c>
    </row>
    <row r="21">
      <c r="A21" s="39" t="inlineStr">
        <is>
          <t>Baylor</t>
        </is>
      </c>
      <c r="B21" s="48" t="n">
        <v>0.48</v>
      </c>
      <c r="C21" s="48" t="n">
        <v>0.06</v>
      </c>
      <c r="D21" s="48" t="n">
        <v>0.03</v>
      </c>
      <c r="E21" s="48" t="n">
        <v>0.008999999999999999</v>
      </c>
      <c r="F21" s="48" t="n">
        <v>0.002</v>
      </c>
      <c r="G21" s="48" t="n">
        <v>0.0001</v>
      </c>
    </row>
    <row r="22">
      <c r="A22" s="39" t="inlineStr">
        <is>
          <t>Marquette</t>
        </is>
      </c>
      <c r="B22" s="48" t="n">
        <v>0.68</v>
      </c>
      <c r="C22" s="48" t="n">
        <v>0.3</v>
      </c>
      <c r="D22" s="48" t="n">
        <v>0.07000000000000001</v>
      </c>
      <c r="E22" s="48" t="n">
        <v>0.03</v>
      </c>
      <c r="F22" s="48" t="n">
        <v>0.008999999999999999</v>
      </c>
      <c r="G22" s="48" t="n">
        <v>0.004</v>
      </c>
    </row>
    <row r="23">
      <c r="A23" s="39" t="inlineStr">
        <is>
          <t>Murray State</t>
        </is>
      </c>
      <c r="B23" s="48" t="n">
        <v>0.32</v>
      </c>
      <c r="C23" s="48" t="n">
        <v>0.1</v>
      </c>
      <c r="D23" s="48" t="n">
        <v>0.02</v>
      </c>
      <c r="E23" s="48" t="n">
        <v>0.005</v>
      </c>
      <c r="F23" s="48" t="n">
        <v>0.001</v>
      </c>
      <c r="G23" s="48" t="n">
        <v>0.0001</v>
      </c>
    </row>
    <row r="24">
      <c r="A24" s="39" t="inlineStr">
        <is>
          <t>Florida State</t>
        </is>
      </c>
      <c r="B24" s="48" t="n">
        <v>0.79</v>
      </c>
      <c r="C24" s="48" t="n">
        <v>0.52</v>
      </c>
      <c r="D24" s="48" t="n">
        <v>0.15</v>
      </c>
      <c r="E24" s="48" t="n">
        <v>0.07000000000000001</v>
      </c>
      <c r="F24" s="48" t="n">
        <v>0.03</v>
      </c>
      <c r="G24" s="48" t="n">
        <v>0.01</v>
      </c>
    </row>
    <row r="25">
      <c r="A25" s="39" t="inlineStr">
        <is>
          <t>Vermont</t>
        </is>
      </c>
      <c r="B25" s="48" t="n">
        <v>0.21</v>
      </c>
      <c r="C25" s="48" t="n">
        <v>0.08</v>
      </c>
      <c r="D25" s="48" t="n">
        <v>0.008999999999999999</v>
      </c>
      <c r="E25" s="48" t="n">
        <v>0.002</v>
      </c>
      <c r="F25" s="48" t="n">
        <v>0.0006666666666666666</v>
      </c>
      <c r="G25" s="48" t="n">
        <v>0.0001</v>
      </c>
    </row>
    <row r="26">
      <c r="A26" s="39" t="inlineStr">
        <is>
          <t>Buffalo</t>
        </is>
      </c>
      <c r="B26" s="48" t="n">
        <v>0.6899999999999999</v>
      </c>
      <c r="C26" s="48" t="n">
        <v>0.25</v>
      </c>
      <c r="D26" s="48" t="n">
        <v>0.09</v>
      </c>
      <c r="E26" s="48" t="n">
        <v>0.03</v>
      </c>
      <c r="F26" s="48" t="n">
        <v>0.008999999999999999</v>
      </c>
      <c r="G26" s="48" t="n">
        <v>0.003</v>
      </c>
    </row>
    <row r="27">
      <c r="A27" s="39" t="inlineStr">
        <is>
          <t>Arizona St./St. John's</t>
        </is>
      </c>
      <c r="B27" s="48" t="n">
        <v>0.3100000000000001</v>
      </c>
      <c r="C27" s="48" t="n">
        <v>0.04</v>
      </c>
      <c r="D27" s="48" t="n">
        <v>0.013</v>
      </c>
      <c r="E27" s="48" t="n">
        <v>0.0025</v>
      </c>
      <c r="F27" s="48" t="n">
        <v>0.001</v>
      </c>
      <c r="G27" s="48" t="n">
        <v>0.0001</v>
      </c>
    </row>
    <row r="28">
      <c r="A28" s="39" t="inlineStr">
        <is>
          <t>Texas Tech</t>
        </is>
      </c>
      <c r="B28" s="48" t="n">
        <v>0.91</v>
      </c>
      <c r="C28" s="48" t="n">
        <v>0.68</v>
      </c>
      <c r="D28" s="48" t="n">
        <v>0.34</v>
      </c>
      <c r="E28" s="48" t="n">
        <v>0.14</v>
      </c>
      <c r="F28" s="48" t="n">
        <v>0.06</v>
      </c>
      <c r="G28" s="48" t="n">
        <v>0.03</v>
      </c>
    </row>
    <row r="29">
      <c r="A29" s="39" t="inlineStr">
        <is>
          <t>Northern Kentucky</t>
        </is>
      </c>
      <c r="B29" s="48" t="n">
        <v>0.09</v>
      </c>
      <c r="C29" s="48" t="n">
        <v>0.03</v>
      </c>
      <c r="D29" s="48" t="n">
        <v>0.004</v>
      </c>
      <c r="E29" s="48" t="n">
        <v>0.0005</v>
      </c>
      <c r="F29" s="48" t="n">
        <v>0.0006666666666666666</v>
      </c>
      <c r="G29" s="48" t="n">
        <v>0.0001</v>
      </c>
    </row>
    <row r="30">
      <c r="A30" s="39" t="inlineStr">
        <is>
          <t>Nevada</t>
        </is>
      </c>
      <c r="B30" s="48" t="n">
        <v>0.58</v>
      </c>
      <c r="C30" s="48" t="n">
        <v>0.18</v>
      </c>
      <c r="D30" s="48" t="n">
        <v>0.1</v>
      </c>
      <c r="E30" s="48" t="n">
        <v>0.04</v>
      </c>
      <c r="F30" s="48" t="n">
        <v>0.01</v>
      </c>
      <c r="G30" s="48" t="n">
        <v>0.004</v>
      </c>
    </row>
    <row r="31">
      <c r="A31" s="39" t="inlineStr">
        <is>
          <t>Florida</t>
        </is>
      </c>
      <c r="B31" s="48" t="n">
        <v>0.42</v>
      </c>
      <c r="C31" s="48" t="n">
        <v>0.11</v>
      </c>
      <c r="D31" s="48" t="n">
        <v>0.04</v>
      </c>
      <c r="E31" s="48" t="n">
        <v>0.01</v>
      </c>
      <c r="F31" s="48" t="n">
        <v>0.003</v>
      </c>
      <c r="G31" s="48" t="n">
        <v>0.001</v>
      </c>
    </row>
    <row r="32">
      <c r="A32" s="39" t="inlineStr">
        <is>
          <t>Michigan</t>
        </is>
      </c>
      <c r="B32" s="48" t="n">
        <v>0.9399999999999999</v>
      </c>
      <c r="C32" s="48" t="n">
        <v>0.7</v>
      </c>
      <c r="D32" s="48" t="n">
        <v>0.411</v>
      </c>
      <c r="E32" s="48" t="n">
        <v>0.17</v>
      </c>
      <c r="F32" s="48" t="n">
        <v>0.08</v>
      </c>
      <c r="G32" s="48" t="n">
        <v>0.04</v>
      </c>
    </row>
    <row r="33">
      <c r="A33" s="39" t="inlineStr">
        <is>
          <t>Montana</t>
        </is>
      </c>
      <c r="B33" s="48" t="n">
        <v>0.06</v>
      </c>
      <c r="C33" s="48" t="n">
        <v>0.01</v>
      </c>
      <c r="D33" s="48" t="n">
        <v>0.002</v>
      </c>
      <c r="E33" s="48" t="n">
        <v>0.0005</v>
      </c>
      <c r="F33" s="48" t="n">
        <v>0.0006666666666666666</v>
      </c>
      <c r="G33" s="48" t="n">
        <v>0.0001</v>
      </c>
    </row>
    <row r="34">
      <c r="A34" s="39" t="inlineStr">
        <is>
          <t>Virginia</t>
        </is>
      </c>
      <c r="B34" s="48" t="n">
        <v>0.98</v>
      </c>
      <c r="C34" s="48" t="n">
        <v>0.88</v>
      </c>
      <c r="D34" s="48" t="n">
        <v>0.72</v>
      </c>
      <c r="E34" s="48" t="n">
        <v>0.49</v>
      </c>
      <c r="F34" s="48" t="n">
        <v>0.3047</v>
      </c>
      <c r="G34" s="48" t="n">
        <v>0.1647</v>
      </c>
    </row>
    <row r="35">
      <c r="A35" s="39" t="inlineStr">
        <is>
          <t>Gardner-Webb</t>
        </is>
      </c>
      <c r="B35" s="48" t="n">
        <v>0.02</v>
      </c>
      <c r="C35" s="48" t="n">
        <v>0.01</v>
      </c>
      <c r="D35" s="48" t="n">
        <v>0.004</v>
      </c>
      <c r="E35" s="48" t="n">
        <v>0.0002</v>
      </c>
      <c r="F35" s="48" t="n">
        <v>0.0006666666666666666</v>
      </c>
      <c r="G35" s="48" t="n">
        <v>0.0001</v>
      </c>
    </row>
    <row r="36">
      <c r="A36" s="39" t="inlineStr">
        <is>
          <t>Mississippi State</t>
        </is>
      </c>
      <c r="B36" s="48" t="n">
        <v>0.47</v>
      </c>
      <c r="C36" s="48" t="n">
        <v>0.05</v>
      </c>
      <c r="D36" s="48" t="n">
        <v>0.02</v>
      </c>
      <c r="E36" s="48" t="n">
        <v>0.006</v>
      </c>
      <c r="F36" s="48" t="n">
        <v>0.002</v>
      </c>
      <c r="G36" s="48" t="n">
        <v>0.0001</v>
      </c>
    </row>
    <row r="37">
      <c r="A37" s="39" t="inlineStr">
        <is>
          <t>Oklahoma</t>
        </is>
      </c>
      <c r="B37" s="48" t="n">
        <v>0.53</v>
      </c>
      <c r="C37" s="48" t="n">
        <v>0.06</v>
      </c>
      <c r="D37" s="48" t="n">
        <v>0.03</v>
      </c>
      <c r="E37" s="48" t="n">
        <v>0.008</v>
      </c>
      <c r="F37" s="48" t="n">
        <v>0.003</v>
      </c>
      <c r="G37" s="48" t="n">
        <v>0.0001</v>
      </c>
    </row>
    <row r="38">
      <c r="A38" s="39" t="inlineStr">
        <is>
          <t>Wisconsin</t>
        </is>
      </c>
      <c r="B38" s="48" t="n">
        <v>0.55</v>
      </c>
      <c r="C38" s="48" t="n">
        <v>0.31</v>
      </c>
      <c r="D38" s="48" t="n">
        <v>0.08</v>
      </c>
      <c r="E38" s="48" t="n">
        <v>0.04</v>
      </c>
      <c r="F38" s="48" t="n">
        <v>0.02</v>
      </c>
      <c r="G38" s="48" t="n">
        <v>0.007</v>
      </c>
    </row>
    <row r="39">
      <c r="A39" s="39" t="inlineStr">
        <is>
          <t>Oregon</t>
        </is>
      </c>
      <c r="B39" s="48" t="n">
        <v>0.45</v>
      </c>
      <c r="C39" s="48" t="n">
        <v>0.24</v>
      </c>
      <c r="D39" s="48" t="n">
        <v>0.04</v>
      </c>
      <c r="E39" s="48" t="n">
        <v>0.01</v>
      </c>
      <c r="F39" s="48" t="n">
        <v>0.004</v>
      </c>
      <c r="G39" s="48" t="n">
        <v>0.001</v>
      </c>
    </row>
    <row r="40">
      <c r="A40" s="39" t="inlineStr">
        <is>
          <t>Kansas State</t>
        </is>
      </c>
      <c r="B40" s="48" t="n">
        <v>0.77</v>
      </c>
      <c r="C40" s="48" t="n">
        <v>0.38</v>
      </c>
      <c r="D40" s="48" t="n">
        <v>0.1</v>
      </c>
      <c r="E40" s="48" t="n">
        <v>0.04</v>
      </c>
      <c r="F40" s="48" t="n">
        <v>0.02</v>
      </c>
      <c r="G40" s="48" t="n">
        <v>0.007</v>
      </c>
    </row>
    <row r="41">
      <c r="A41" s="39" t="inlineStr">
        <is>
          <t>UC Irvine</t>
        </is>
      </c>
      <c r="B41" s="48" t="n">
        <v>0.23</v>
      </c>
      <c r="C41" s="48" t="n">
        <v>0.07000000000000001</v>
      </c>
      <c r="D41" s="48" t="n">
        <v>0.006</v>
      </c>
      <c r="E41" s="48" t="n">
        <v>0.0002</v>
      </c>
      <c r="F41" s="48" t="n">
        <v>0.0006666666666666666</v>
      </c>
      <c r="G41" s="48" t="n">
        <v>0.0001</v>
      </c>
    </row>
    <row r="42">
      <c r="A42" s="39" t="inlineStr">
        <is>
          <t>Villanova</t>
        </is>
      </c>
      <c r="B42" s="48" t="n">
        <v>0.75</v>
      </c>
      <c r="C42" s="48" t="n">
        <v>0.39</v>
      </c>
      <c r="D42" s="48" t="n">
        <v>0.14</v>
      </c>
      <c r="E42" s="48" t="n">
        <v>0.05</v>
      </c>
      <c r="F42" s="48" t="n">
        <v>0.02</v>
      </c>
      <c r="G42" s="48" t="n">
        <v>0.007</v>
      </c>
    </row>
    <row r="43">
      <c r="A43" s="39" t="inlineStr">
        <is>
          <t>Saint Mary's</t>
        </is>
      </c>
      <c r="B43" s="48" t="n">
        <v>0.25</v>
      </c>
      <c r="C43" s="48" t="n">
        <v>0.08</v>
      </c>
      <c r="D43" s="48" t="n">
        <v>0.02</v>
      </c>
      <c r="E43" s="48" t="n">
        <v>0.005</v>
      </c>
      <c r="F43" s="48" t="n">
        <v>0.002</v>
      </c>
      <c r="G43" s="48" t="n">
        <v>0.0001</v>
      </c>
    </row>
    <row r="44">
      <c r="A44" s="39" t="inlineStr">
        <is>
          <t>Purdue</t>
        </is>
      </c>
      <c r="B44" s="48" t="n">
        <v>0.88</v>
      </c>
      <c r="C44" s="48" t="n">
        <v>0.5</v>
      </c>
      <c r="D44" s="48" t="n">
        <v>0.245</v>
      </c>
      <c r="E44" s="48" t="n">
        <v>0.1</v>
      </c>
      <c r="F44" s="48" t="n">
        <v>0.05</v>
      </c>
      <c r="G44" s="48" t="n">
        <v>0.02</v>
      </c>
    </row>
    <row r="45">
      <c r="A45" s="39" t="inlineStr">
        <is>
          <t>Old Dominion</t>
        </is>
      </c>
      <c r="B45" s="48" t="n">
        <v>0.12</v>
      </c>
      <c r="C45" s="48" t="n">
        <v>0.03</v>
      </c>
      <c r="D45" s="48" t="n">
        <v>0.004</v>
      </c>
      <c r="E45" s="48" t="n">
        <v>0.0002</v>
      </c>
      <c r="F45" s="48" t="n">
        <v>0.0006666666666666666</v>
      </c>
      <c r="G45" s="48" t="n">
        <v>0.0001</v>
      </c>
    </row>
    <row r="46">
      <c r="A46" s="39" t="inlineStr">
        <is>
          <t>Cincinnati</t>
        </is>
      </c>
      <c r="B46" s="48" t="n">
        <v>0.66</v>
      </c>
      <c r="C46" s="48" t="n">
        <v>0.21</v>
      </c>
      <c r="D46" s="48" t="n">
        <v>0.1</v>
      </c>
      <c r="E46" s="48" t="n">
        <v>0.03</v>
      </c>
      <c r="F46" s="48" t="n">
        <v>0.01</v>
      </c>
      <c r="G46" s="48" t="n">
        <v>0.004</v>
      </c>
    </row>
    <row r="47">
      <c r="A47" s="39" t="inlineStr">
        <is>
          <t>Iowa</t>
        </is>
      </c>
      <c r="B47" s="48" t="n">
        <v>0.34</v>
      </c>
      <c r="C47" s="48" t="n">
        <v>0.07000000000000001</v>
      </c>
      <c r="D47" s="48" t="n">
        <v>0.03</v>
      </c>
      <c r="E47" s="48" t="n">
        <v>0.006</v>
      </c>
      <c r="F47" s="48" t="n">
        <v>0.002</v>
      </c>
      <c r="G47" s="48" t="n">
        <v>0.0001</v>
      </c>
    </row>
    <row r="48">
      <c r="A48" s="39" t="inlineStr">
        <is>
          <t>Tennessee</t>
        </is>
      </c>
      <c r="B48" s="48" t="n">
        <v>0.95</v>
      </c>
      <c r="C48" s="48" t="n">
        <v>0.71</v>
      </c>
      <c r="D48" s="48" t="n">
        <v>0.46</v>
      </c>
      <c r="E48" s="48" t="n">
        <v>0.2142</v>
      </c>
      <c r="F48" s="48" t="n">
        <v>0.12</v>
      </c>
      <c r="G48" s="48" t="n">
        <v>0.06</v>
      </c>
    </row>
    <row r="49">
      <c r="A49" s="39" t="inlineStr">
        <is>
          <t>Colgate</t>
        </is>
      </c>
      <c r="B49" s="48" t="n">
        <v>0.05</v>
      </c>
      <c r="C49" s="48" t="n">
        <v>0.01</v>
      </c>
      <c r="D49" s="48" t="n">
        <v>0.001</v>
      </c>
      <c r="E49" s="48" t="n">
        <v>0.0002</v>
      </c>
      <c r="F49" s="48" t="n">
        <v>0.0006666666666666666</v>
      </c>
      <c r="G49" s="48" t="n">
        <v>0.0001</v>
      </c>
    </row>
    <row r="50">
      <c r="A50" s="39" t="inlineStr">
        <is>
          <t>North Carolina</t>
        </is>
      </c>
      <c r="B50" s="48" t="n">
        <v>0.98</v>
      </c>
      <c r="C50" s="48" t="n">
        <v>0.86</v>
      </c>
      <c r="D50" s="48" t="n">
        <v>0.57</v>
      </c>
      <c r="E50" s="48" t="n">
        <v>0.35</v>
      </c>
      <c r="F50" s="48" t="n">
        <v>0.18</v>
      </c>
      <c r="G50" s="48" t="n">
        <v>0.09</v>
      </c>
    </row>
    <row r="51">
      <c r="A51" s="39" t="inlineStr">
        <is>
          <t>Iona</t>
        </is>
      </c>
      <c r="B51" s="48" t="n">
        <v>0.02</v>
      </c>
      <c r="C51" s="48" t="n">
        <v>0.01</v>
      </c>
      <c r="D51" s="48" t="n">
        <v>0.004</v>
      </c>
      <c r="E51" s="48" t="n">
        <v>0.004666666666666667</v>
      </c>
      <c r="F51" s="48" t="n">
        <v>0.0006666666666666666</v>
      </c>
      <c r="G51" s="48" t="n">
        <v>0.0001</v>
      </c>
    </row>
    <row r="52">
      <c r="A52" s="39" t="inlineStr">
        <is>
          <t>Utah State</t>
        </is>
      </c>
      <c r="B52" s="48" t="n">
        <v>0.51</v>
      </c>
      <c r="C52" s="48" t="n">
        <v>0.07000000000000001</v>
      </c>
      <c r="D52" s="48" t="n">
        <v>0.02</v>
      </c>
      <c r="E52" s="48" t="n">
        <v>0.007</v>
      </c>
      <c r="F52" s="48" t="n">
        <v>0.002</v>
      </c>
      <c r="G52" s="48" t="n">
        <v>0.0001</v>
      </c>
    </row>
    <row r="53">
      <c r="A53" s="39" t="inlineStr">
        <is>
          <t>Washington</t>
        </is>
      </c>
      <c r="B53" s="48" t="n">
        <v>0.49</v>
      </c>
      <c r="C53" s="48" t="n">
        <v>0.06</v>
      </c>
      <c r="D53" s="48" t="n">
        <v>0.02</v>
      </c>
      <c r="E53" s="48" t="n">
        <v>0.006</v>
      </c>
      <c r="F53" s="48" t="n">
        <v>0.002</v>
      </c>
      <c r="G53" s="48" t="n">
        <v>0.0001</v>
      </c>
    </row>
    <row r="54">
      <c r="A54" s="39" t="inlineStr">
        <is>
          <t>Auburn</t>
        </is>
      </c>
      <c r="B54" s="48" t="n">
        <v>0.76</v>
      </c>
      <c r="C54" s="48" t="n">
        <v>0.48</v>
      </c>
      <c r="D54" s="48" t="n">
        <v>0.2</v>
      </c>
      <c r="E54" s="48" t="n">
        <v>0.1</v>
      </c>
      <c r="F54" s="48" t="n">
        <v>0.04</v>
      </c>
      <c r="G54" s="48" t="n">
        <v>0.02</v>
      </c>
    </row>
    <row r="55">
      <c r="A55" s="39" t="inlineStr">
        <is>
          <t>New Mexico State</t>
        </is>
      </c>
      <c r="B55" s="48" t="n">
        <v>0.24</v>
      </c>
      <c r="C55" s="48" t="n">
        <v>0.09</v>
      </c>
      <c r="D55" s="48" t="n">
        <v>0.02</v>
      </c>
      <c r="E55" s="48" t="n">
        <v>0.005</v>
      </c>
      <c r="F55" s="48" t="n">
        <v>0.001</v>
      </c>
      <c r="G55" s="48" t="n">
        <v>0.0001</v>
      </c>
    </row>
    <row r="56">
      <c r="A56" s="39" t="inlineStr">
        <is>
          <t>Kansas</t>
        </is>
      </c>
      <c r="B56" s="48" t="n">
        <v>0.83</v>
      </c>
      <c r="C56" s="48" t="n">
        <v>0.39</v>
      </c>
      <c r="D56" s="48" t="n">
        <v>0.16</v>
      </c>
      <c r="E56" s="48" t="n">
        <v>0.08</v>
      </c>
      <c r="F56" s="48" t="n">
        <v>0.03</v>
      </c>
      <c r="G56" s="48" t="n">
        <v>0.01</v>
      </c>
    </row>
    <row r="57">
      <c r="A57" s="39" t="inlineStr">
        <is>
          <t>Northeastern</t>
        </is>
      </c>
      <c r="B57" s="48" t="n">
        <v>0.17</v>
      </c>
      <c r="C57" s="48" t="n">
        <v>0.04</v>
      </c>
      <c r="D57" s="48" t="n">
        <v>0.006</v>
      </c>
      <c r="E57" s="48" t="n">
        <v>0.001</v>
      </c>
      <c r="F57" s="48" t="n">
        <v>0.0006666666666666666</v>
      </c>
      <c r="G57" s="48" t="n">
        <v>0.0001</v>
      </c>
    </row>
    <row r="58">
      <c r="A58" s="39" t="inlineStr">
        <is>
          <t>Iowa State</t>
        </is>
      </c>
      <c r="B58" s="48" t="n">
        <v>0.67</v>
      </c>
      <c r="C58" s="48" t="n">
        <v>0.32</v>
      </c>
      <c r="D58" s="48" t="n">
        <v>0.14</v>
      </c>
      <c r="E58" s="48" t="n">
        <v>0.06</v>
      </c>
      <c r="F58" s="48" t="n">
        <v>0.02</v>
      </c>
      <c r="G58" s="48" t="n">
        <v>0.008999999999999999</v>
      </c>
    </row>
    <row r="59">
      <c r="A59" s="39" t="inlineStr">
        <is>
          <t>Ohio State</t>
        </is>
      </c>
      <c r="B59" s="48" t="n">
        <v>0.33</v>
      </c>
      <c r="C59" s="48" t="n">
        <v>0.11</v>
      </c>
      <c r="D59" s="48" t="n">
        <v>0.04</v>
      </c>
      <c r="E59" s="48" t="n">
        <v>0.01</v>
      </c>
      <c r="F59" s="48" t="n">
        <v>0.003</v>
      </c>
      <c r="G59" s="48" t="n">
        <v>0.0001</v>
      </c>
    </row>
    <row r="60">
      <c r="A60" s="39" t="inlineStr">
        <is>
          <t>Houston</t>
        </is>
      </c>
      <c r="B60" s="48" t="n">
        <v>0.9</v>
      </c>
      <c r="C60" s="48" t="n">
        <v>0.55</v>
      </c>
      <c r="D60" s="48" t="n">
        <v>0.24</v>
      </c>
      <c r="E60" s="48" t="n">
        <v>0.1</v>
      </c>
      <c r="F60" s="48" t="n">
        <v>0.04</v>
      </c>
      <c r="G60" s="48" t="n">
        <v>0.01</v>
      </c>
    </row>
    <row r="61">
      <c r="A61" s="39" t="inlineStr">
        <is>
          <t>Georgia State</t>
        </is>
      </c>
      <c r="B61" s="48" t="n">
        <v>0.1</v>
      </c>
      <c r="C61" s="48" t="n">
        <v>0.02</v>
      </c>
      <c r="D61" s="48" t="n">
        <v>0.003</v>
      </c>
      <c r="E61" s="48" t="n">
        <v>0.004666666666666667</v>
      </c>
      <c r="F61" s="48" t="n">
        <v>0.0006666666666666666</v>
      </c>
      <c r="G61" s="48" t="n">
        <v>0.0001</v>
      </c>
    </row>
    <row r="62">
      <c r="A62" s="39" t="inlineStr">
        <is>
          <t>Wofford</t>
        </is>
      </c>
      <c r="B62" s="48" t="n">
        <v>0.63</v>
      </c>
      <c r="C62" s="48" t="n">
        <v>0.19</v>
      </c>
      <c r="D62" s="48" t="n">
        <v>0.08</v>
      </c>
      <c r="E62" s="48" t="n">
        <v>0.02</v>
      </c>
      <c r="F62" s="48" t="n">
        <v>0.007</v>
      </c>
      <c r="G62" s="48" t="n">
        <v>0.002</v>
      </c>
    </row>
    <row r="63">
      <c r="A63" s="39" t="inlineStr">
        <is>
          <t>Seton Hall</t>
        </is>
      </c>
      <c r="B63" s="48" t="n">
        <v>0.37</v>
      </c>
      <c r="C63" s="48" t="n">
        <v>0.08</v>
      </c>
      <c r="D63" s="48" t="n">
        <v>0.03</v>
      </c>
      <c r="E63" s="48" t="n">
        <v>0.007</v>
      </c>
      <c r="F63" s="48" t="n">
        <v>0.002</v>
      </c>
      <c r="G63" s="48" t="n">
        <v>0.0001</v>
      </c>
    </row>
    <row r="64">
      <c r="A64" s="39" t="inlineStr">
        <is>
          <t>Kentucky</t>
        </is>
      </c>
      <c r="B64" s="48" t="n">
        <v>0.97</v>
      </c>
      <c r="C64" s="48" t="n">
        <v>0.726</v>
      </c>
      <c r="D64" s="48" t="n">
        <v>0.466</v>
      </c>
      <c r="E64" s="48" t="n">
        <v>0.24</v>
      </c>
      <c r="F64" s="48" t="n">
        <v>0.11</v>
      </c>
      <c r="G64" s="48" t="n">
        <v>0.05</v>
      </c>
    </row>
    <row r="65">
      <c r="A65" s="39" t="inlineStr">
        <is>
          <t>Abilene Christian</t>
        </is>
      </c>
      <c r="B65" s="48" t="n">
        <v>0.03</v>
      </c>
      <c r="C65" s="48" t="n">
        <v>0.004</v>
      </c>
      <c r="D65" s="48" t="n">
        <v>0.001</v>
      </c>
      <c r="E65" s="48" t="n">
        <v>0.004666666666666667</v>
      </c>
      <c r="F65" s="48" t="n">
        <v>0.0006666666666666666</v>
      </c>
      <c r="G65" s="48" t="n">
        <v>0.0001</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5703125" bestFit="1" customWidth="1" style="38" min="1" max="1"/>
    <col width="5.5703125" bestFit="1" customWidth="1" style="38" min="2" max="7"/>
    <col width="9.140625" customWidth="1" style="38" min="8" max="16384"/>
  </cols>
  <sheetData>
    <row r="1">
      <c r="A1" s="39" t="inlineStr">
        <is>
          <t>Team</t>
        </is>
      </c>
      <c r="B1" s="39" t="inlineStr">
        <is>
          <t>R64</t>
        </is>
      </c>
      <c r="C1" s="39" t="inlineStr">
        <is>
          <t>R32</t>
        </is>
      </c>
      <c r="D1" s="39" t="inlineStr">
        <is>
          <t>S16</t>
        </is>
      </c>
      <c r="E1" s="39" t="inlineStr">
        <is>
          <t>E8</t>
        </is>
      </c>
      <c r="F1" s="39" t="inlineStr">
        <is>
          <t>F4</t>
        </is>
      </c>
      <c r="G1" s="39" t="inlineStr">
        <is>
          <t>C6</t>
        </is>
      </c>
    </row>
    <row r="2">
      <c r="A2" s="39" t="inlineStr">
        <is>
          <t>Duke</t>
        </is>
      </c>
      <c r="B2" s="49" t="n">
        <v>0.976</v>
      </c>
      <c r="C2" s="49" t="n">
        <v>0.945</v>
      </c>
      <c r="D2" s="49" t="n">
        <v>0.88</v>
      </c>
      <c r="E2" s="49" t="n">
        <v>0.731</v>
      </c>
      <c r="F2" s="49" t="n">
        <v>0.592</v>
      </c>
      <c r="G2" s="49" t="n">
        <v>0.424</v>
      </c>
    </row>
    <row r="3">
      <c r="A3" s="39" t="inlineStr">
        <is>
          <t>N Dakota St./NC Central</t>
        </is>
      </c>
      <c r="B3" s="49" t="n">
        <v>0.024</v>
      </c>
      <c r="C3" s="49" t="n">
        <v>0.012</v>
      </c>
      <c r="D3" s="49" t="n">
        <v>0.008</v>
      </c>
      <c r="E3" s="49" t="n">
        <v>0.006</v>
      </c>
      <c r="F3" s="49" t="n">
        <v>0.003</v>
      </c>
      <c r="G3" s="49" t="n">
        <v>0.001</v>
      </c>
    </row>
    <row r="4">
      <c r="A4" s="39" t="inlineStr">
        <is>
          <t>VCU</t>
        </is>
      </c>
      <c r="B4" s="49" t="n">
        <v>0.467</v>
      </c>
      <c r="C4" s="49" t="n">
        <v>0.02</v>
      </c>
      <c r="D4" s="49" t="n">
        <v>0.008999999999999999</v>
      </c>
      <c r="E4" s="49" t="n">
        <v>0.004</v>
      </c>
      <c r="F4" s="49" t="n">
        <v>0.002</v>
      </c>
      <c r="G4" s="49" t="n">
        <v>0.001</v>
      </c>
    </row>
    <row r="5">
      <c r="A5" s="39" t="inlineStr">
        <is>
          <t>UCF</t>
        </is>
      </c>
      <c r="B5" s="49" t="n">
        <v>0.533</v>
      </c>
      <c r="C5" s="49" t="n">
        <v>0.023</v>
      </c>
      <c r="D5" s="49" t="n">
        <v>0.01</v>
      </c>
      <c r="E5" s="49" t="n">
        <v>0.004</v>
      </c>
      <c r="F5" s="49" t="n">
        <v>0.002</v>
      </c>
      <c r="G5" s="49" t="n">
        <v>0.001</v>
      </c>
    </row>
    <row r="6">
      <c r="A6" s="39" t="inlineStr">
        <is>
          <t>Mississippi State</t>
        </is>
      </c>
      <c r="B6" s="49" t="n">
        <v>0.751</v>
      </c>
      <c r="C6" s="49" t="n">
        <v>0.24</v>
      </c>
      <c r="D6" s="49" t="n">
        <v>0.019</v>
      </c>
      <c r="E6" s="49" t="n">
        <v>0.007</v>
      </c>
      <c r="F6" s="49" t="n">
        <v>0.003</v>
      </c>
      <c r="G6" s="49" t="n">
        <v>0.001</v>
      </c>
    </row>
    <row r="7">
      <c r="A7" s="39" t="inlineStr">
        <is>
          <t>Liberty</t>
        </is>
      </c>
      <c r="B7" s="49" t="n">
        <v>0.249</v>
      </c>
      <c r="C7" s="49" t="n">
        <v>0.053</v>
      </c>
      <c r="D7" s="49" t="n">
        <v>0.007</v>
      </c>
      <c r="E7" s="49" t="n">
        <v>0.003</v>
      </c>
      <c r="F7" s="49" t="n">
        <v>0.001</v>
      </c>
      <c r="G7" s="49" t="n">
        <v>0.001</v>
      </c>
    </row>
    <row r="8">
      <c r="A8" s="39" t="inlineStr">
        <is>
          <t>Virginia Tech</t>
        </is>
      </c>
      <c r="B8" s="49" t="n">
        <v>0.874</v>
      </c>
      <c r="C8" s="49" t="n">
        <v>0.659</v>
      </c>
      <c r="D8" s="49" t="n">
        <v>0.06</v>
      </c>
      <c r="E8" s="49" t="n">
        <v>0.024</v>
      </c>
      <c r="F8" s="49" t="n">
        <v>0.008999999999999999</v>
      </c>
      <c r="G8" s="49" t="n">
        <v>0.004</v>
      </c>
    </row>
    <row r="9">
      <c r="A9" s="39" t="inlineStr">
        <is>
          <t>Saint Louis</t>
        </is>
      </c>
      <c r="B9" s="49" t="n">
        <v>0.126</v>
      </c>
      <c r="C9" s="49" t="n">
        <v>0.049</v>
      </c>
      <c r="D9" s="49" t="n">
        <v>0.007</v>
      </c>
      <c r="E9" s="49" t="n">
        <v>0.003</v>
      </c>
      <c r="F9" s="49" t="n">
        <v>0.001</v>
      </c>
      <c r="G9" s="49" t="n">
        <v>0.001</v>
      </c>
    </row>
    <row r="10">
      <c r="A10" s="39" t="inlineStr">
        <is>
          <t>Maryland</t>
        </is>
      </c>
      <c r="B10" s="49" t="n">
        <v>0.769</v>
      </c>
      <c r="C10" s="49" t="n">
        <v>0.249</v>
      </c>
      <c r="D10" s="49" t="n">
        <v>0.05</v>
      </c>
      <c r="E10" s="49" t="n">
        <v>0.008999999999999999</v>
      </c>
      <c r="F10" s="49" t="n">
        <v>0.004</v>
      </c>
      <c r="G10" s="49" t="n">
        <v>0.002</v>
      </c>
    </row>
    <row r="11">
      <c r="A11" s="39" t="inlineStr">
        <is>
          <t>Belmont/Temple</t>
        </is>
      </c>
      <c r="B11" s="49" t="n">
        <v>0.231</v>
      </c>
      <c r="C11" s="49" t="n">
        <v>0.064</v>
      </c>
      <c r="D11" s="49" t="n">
        <v>0.008999999999999999</v>
      </c>
      <c r="E11" s="49" t="n">
        <v>0.003</v>
      </c>
      <c r="F11" s="49" t="n">
        <v>0.001</v>
      </c>
      <c r="G11" s="49" t="n">
        <v>0.001</v>
      </c>
    </row>
    <row r="12">
      <c r="A12" s="39" t="inlineStr">
        <is>
          <t>LSU</t>
        </is>
      </c>
      <c r="B12" s="49" t="n">
        <v>0.854</v>
      </c>
      <c r="C12" s="49" t="n">
        <v>0.633</v>
      </c>
      <c r="D12" s="49" t="n">
        <v>0.198</v>
      </c>
      <c r="E12" s="49" t="n">
        <v>0.036</v>
      </c>
      <c r="F12" s="49" t="n">
        <v>0.017</v>
      </c>
      <c r="G12" s="49" t="n">
        <v>0.007</v>
      </c>
    </row>
    <row r="13">
      <c r="A13" s="39" t="inlineStr">
        <is>
          <t>Yale</t>
        </is>
      </c>
      <c r="B13" s="49" t="n">
        <v>0.146</v>
      </c>
      <c r="C13" s="49" t="n">
        <v>0.054</v>
      </c>
      <c r="D13" s="49" t="n">
        <v>0.01</v>
      </c>
      <c r="E13" s="49" t="n">
        <v>0.004</v>
      </c>
      <c r="F13" s="49" t="n">
        <v>0.002</v>
      </c>
      <c r="G13" s="49" t="n">
        <v>0.001</v>
      </c>
    </row>
    <row r="14">
      <c r="A14" s="39" t="inlineStr">
        <is>
          <t>Louisville</t>
        </is>
      </c>
      <c r="B14" s="49" t="n">
        <v>0.67</v>
      </c>
      <c r="C14" s="49" t="n">
        <v>0.116</v>
      </c>
      <c r="D14" s="49" t="n">
        <v>0.058</v>
      </c>
      <c r="E14" s="49" t="n">
        <v>0.011</v>
      </c>
      <c r="F14" s="49" t="n">
        <v>0.005</v>
      </c>
      <c r="G14" s="49" t="n">
        <v>0.002</v>
      </c>
    </row>
    <row r="15">
      <c r="A15" s="39" t="inlineStr">
        <is>
          <t>Minnesota</t>
        </is>
      </c>
      <c r="B15" s="49" t="n">
        <v>0.33</v>
      </c>
      <c r="C15" s="49" t="n">
        <v>0.038</v>
      </c>
      <c r="D15" s="49" t="n">
        <v>0.014</v>
      </c>
      <c r="E15" s="49" t="n">
        <v>0.004</v>
      </c>
      <c r="F15" s="49" t="n">
        <v>0.002</v>
      </c>
      <c r="G15" s="49" t="n">
        <v>0.001</v>
      </c>
    </row>
    <row r="16">
      <c r="A16" s="39" t="inlineStr">
        <is>
          <t>Michigan State</t>
        </is>
      </c>
      <c r="B16" s="49" t="n">
        <v>0.958</v>
      </c>
      <c r="C16" s="49" t="n">
        <v>0.827</v>
      </c>
      <c r="D16" s="49" t="n">
        <v>0.649</v>
      </c>
      <c r="E16" s="49" t="n">
        <v>0.15</v>
      </c>
      <c r="F16" s="49" t="n">
        <v>0.09</v>
      </c>
      <c r="G16" s="49" t="n">
        <v>0.043</v>
      </c>
    </row>
    <row r="17">
      <c r="A17" s="39" t="inlineStr">
        <is>
          <t>Bradley</t>
        </is>
      </c>
      <c r="B17" s="49" t="n">
        <v>0.042</v>
      </c>
      <c r="C17" s="49" t="n">
        <v>0.019</v>
      </c>
      <c r="D17" s="49" t="n">
        <v>0.011</v>
      </c>
      <c r="E17" s="49" t="n">
        <v>0.003</v>
      </c>
      <c r="F17" s="49" t="n">
        <v>0.001</v>
      </c>
      <c r="G17" s="49" t="n">
        <v>0.001</v>
      </c>
    </row>
    <row r="18">
      <c r="A18" s="39" t="inlineStr">
        <is>
          <t>Gonzaga</t>
        </is>
      </c>
      <c r="B18" s="49" t="n">
        <v>0.972</v>
      </c>
      <c r="C18" s="49" t="n">
        <v>0.828</v>
      </c>
      <c r="D18" s="49" t="n">
        <v>0.632</v>
      </c>
      <c r="E18" s="49" t="n">
        <v>0.426</v>
      </c>
      <c r="F18" s="49" t="n">
        <v>0.131</v>
      </c>
      <c r="G18" s="49" t="n">
        <v>0.076</v>
      </c>
    </row>
    <row r="19">
      <c r="A19" s="39" t="inlineStr">
        <is>
          <t>F Dickinson/P View A&amp;M</t>
        </is>
      </c>
      <c r="B19" s="49" t="n">
        <v>0.029</v>
      </c>
      <c r="C19" s="49" t="n">
        <v>0.013</v>
      </c>
      <c r="D19" s="49" t="n">
        <v>0.008</v>
      </c>
      <c r="E19" s="49" t="n">
        <v>0.006</v>
      </c>
      <c r="F19" s="49" t="n">
        <v>0.002</v>
      </c>
      <c r="G19" s="49" t="n">
        <v>0.001</v>
      </c>
    </row>
    <row r="20">
      <c r="A20" s="39" t="inlineStr">
        <is>
          <t>Syracuse</t>
        </is>
      </c>
      <c r="B20" s="49" t="n">
        <v>0.6879999999999999</v>
      </c>
      <c r="C20" s="49" t="n">
        <v>0.122</v>
      </c>
      <c r="D20" s="49" t="n">
        <v>0.053</v>
      </c>
      <c r="E20" s="49" t="n">
        <v>0.021</v>
      </c>
      <c r="F20" s="49" t="n">
        <v>0.006</v>
      </c>
      <c r="G20" s="49" t="n">
        <v>0.004</v>
      </c>
    </row>
    <row r="21">
      <c r="A21" s="39" t="inlineStr">
        <is>
          <t>Baylor</t>
        </is>
      </c>
      <c r="B21" s="49" t="n">
        <v>0.312</v>
      </c>
      <c r="C21" s="49" t="n">
        <v>0.037</v>
      </c>
      <c r="D21" s="49" t="n">
        <v>0.015</v>
      </c>
      <c r="E21" s="49" t="n">
        <v>0.006</v>
      </c>
      <c r="F21" s="49" t="n">
        <v>0.002</v>
      </c>
      <c r="G21" s="49" t="n">
        <v>0.001</v>
      </c>
    </row>
    <row r="22">
      <c r="A22" s="39" t="inlineStr">
        <is>
          <t>Marquette</t>
        </is>
      </c>
      <c r="B22" s="49" t="n">
        <v>0.585</v>
      </c>
      <c r="C22" s="49" t="n">
        <v>0.217</v>
      </c>
      <c r="D22" s="49" t="n">
        <v>0.054</v>
      </c>
      <c r="E22" s="49" t="n">
        <v>0.021</v>
      </c>
      <c r="F22" s="49" t="n">
        <v>0.005</v>
      </c>
      <c r="G22" s="49" t="n">
        <v>0.002</v>
      </c>
    </row>
    <row r="23">
      <c r="A23" s="39" t="inlineStr">
        <is>
          <t>Murray State</t>
        </is>
      </c>
      <c r="B23" s="49" t="n">
        <v>0.415</v>
      </c>
      <c r="C23" s="49" t="n">
        <v>0.139</v>
      </c>
      <c r="D23" s="49" t="n">
        <v>0.032</v>
      </c>
      <c r="E23" s="49" t="n">
        <v>0.013</v>
      </c>
      <c r="F23" s="49" t="n">
        <v>0.004</v>
      </c>
      <c r="G23" s="49" t="n">
        <v>0.002</v>
      </c>
    </row>
    <row r="24">
      <c r="A24" s="39" t="inlineStr">
        <is>
          <t>Florida State</t>
        </is>
      </c>
      <c r="B24" s="49" t="n">
        <v>0.887</v>
      </c>
      <c r="C24" s="49" t="n">
        <v>0.608</v>
      </c>
      <c r="D24" s="49" t="n">
        <v>0.198</v>
      </c>
      <c r="E24" s="49" t="n">
        <v>0.092</v>
      </c>
      <c r="F24" s="49" t="n">
        <v>0.016</v>
      </c>
      <c r="G24" s="49" t="n">
        <v>0.006</v>
      </c>
    </row>
    <row r="25">
      <c r="A25" s="39" t="inlineStr">
        <is>
          <t>Vermont</t>
        </is>
      </c>
      <c r="B25" s="49" t="n">
        <v>0.113</v>
      </c>
      <c r="C25" s="49" t="n">
        <v>0.036</v>
      </c>
      <c r="D25" s="49" t="n">
        <v>0.008</v>
      </c>
      <c r="E25" s="49" t="n">
        <v>0.003</v>
      </c>
      <c r="F25" s="49" t="n">
        <v>0.001</v>
      </c>
      <c r="G25" s="49" t="n">
        <v>0.001</v>
      </c>
    </row>
    <row r="26">
      <c r="A26" s="39" t="inlineStr">
        <is>
          <t>Buffalo</t>
        </is>
      </c>
      <c r="B26" s="49" t="n">
        <v>0.803</v>
      </c>
      <c r="C26" s="49" t="n">
        <v>0.265</v>
      </c>
      <c r="D26" s="49" t="n">
        <v>0.073</v>
      </c>
      <c r="E26" s="49" t="n">
        <v>0.019</v>
      </c>
      <c r="F26" s="49" t="n">
        <v>0.004</v>
      </c>
      <c r="G26" s="49" t="n">
        <v>0.002</v>
      </c>
    </row>
    <row r="27">
      <c r="A27" s="39" t="inlineStr">
        <is>
          <t>Arizona St./St. John's</t>
        </is>
      </c>
      <c r="B27" s="49" t="n">
        <v>0.197</v>
      </c>
      <c r="C27" s="49" t="n">
        <v>0.039</v>
      </c>
      <c r="D27" s="49" t="n">
        <v>0.008999999999999999</v>
      </c>
      <c r="E27" s="49" t="n">
        <v>0.003</v>
      </c>
      <c r="F27" s="49" t="n">
        <v>0.001</v>
      </c>
      <c r="G27" s="49" t="n">
        <v>0.001</v>
      </c>
    </row>
    <row r="28">
      <c r="A28" s="39" t="inlineStr">
        <is>
          <t>Texas Tech</t>
        </is>
      </c>
      <c r="B28" s="49" t="n">
        <v>0.918</v>
      </c>
      <c r="C28" s="49" t="n">
        <v>0.667</v>
      </c>
      <c r="D28" s="49" t="n">
        <v>0.234</v>
      </c>
      <c r="E28" s="49" t="n">
        <v>0.094</v>
      </c>
      <c r="F28" s="49" t="n">
        <v>0.019</v>
      </c>
      <c r="G28" s="49" t="n">
        <v>0.008</v>
      </c>
    </row>
    <row r="29">
      <c r="A29" s="39" t="inlineStr">
        <is>
          <t>Northern Kentucky</t>
        </is>
      </c>
      <c r="B29" s="49" t="n">
        <v>0.082</v>
      </c>
      <c r="C29" s="49" t="n">
        <v>0.029</v>
      </c>
      <c r="D29" s="49" t="n">
        <v>0.007</v>
      </c>
      <c r="E29" s="49" t="n">
        <v>0.003</v>
      </c>
      <c r="F29" s="49" t="n">
        <v>0.001</v>
      </c>
      <c r="G29" s="49" t="n">
        <v>0.001</v>
      </c>
    </row>
    <row r="30">
      <c r="A30" s="39" t="inlineStr">
        <is>
          <t>Nevada</t>
        </is>
      </c>
      <c r="B30" s="49" t="n">
        <v>0.505</v>
      </c>
      <c r="C30" s="49" t="n">
        <v>0.111</v>
      </c>
      <c r="D30" s="49" t="n">
        <v>0.052</v>
      </c>
      <c r="E30" s="49" t="n">
        <v>0.017</v>
      </c>
      <c r="F30" s="49" t="n">
        <v>0.004</v>
      </c>
      <c r="G30" s="49" t="n">
        <v>0.002</v>
      </c>
    </row>
    <row r="31">
      <c r="A31" s="39" t="inlineStr">
        <is>
          <t>Florida</t>
        </is>
      </c>
      <c r="B31" s="49" t="n">
        <v>0.495</v>
      </c>
      <c r="C31" s="49" t="n">
        <v>0.093</v>
      </c>
      <c r="D31" s="49" t="n">
        <v>0.042</v>
      </c>
      <c r="E31" s="49" t="n">
        <v>0.012</v>
      </c>
      <c r="F31" s="49" t="n">
        <v>0.004</v>
      </c>
      <c r="G31" s="49" t="n">
        <v>0.002</v>
      </c>
    </row>
    <row r="32">
      <c r="A32" s="39" t="inlineStr">
        <is>
          <t>Michigan</t>
        </is>
      </c>
      <c r="B32" s="49" t="n">
        <v>0.957</v>
      </c>
      <c r="C32" s="49" t="n">
        <v>0.778</v>
      </c>
      <c r="D32" s="49" t="n">
        <v>0.573</v>
      </c>
      <c r="E32" s="49" t="n">
        <v>0.262</v>
      </c>
      <c r="F32" s="49" t="n">
        <v>0.064</v>
      </c>
      <c r="G32" s="49" t="n">
        <v>0.031</v>
      </c>
    </row>
    <row r="33">
      <c r="A33" s="39" t="inlineStr">
        <is>
          <t>Montana</t>
        </is>
      </c>
      <c r="B33" s="49" t="n">
        <v>0.043</v>
      </c>
      <c r="C33" s="49" t="n">
        <v>0.018</v>
      </c>
      <c r="D33" s="49" t="n">
        <v>0.011</v>
      </c>
      <c r="E33" s="49" t="n">
        <v>0.003</v>
      </c>
      <c r="F33" s="49" t="n">
        <v>0.001</v>
      </c>
      <c r="G33" s="49" t="n">
        <v>0.001</v>
      </c>
    </row>
    <row r="34">
      <c r="A34" s="39" t="inlineStr">
        <is>
          <t>Virginia</t>
        </is>
      </c>
      <c r="B34" s="49" t="n">
        <v>0.964</v>
      </c>
      <c r="C34" s="49" t="n">
        <v>0.897</v>
      </c>
      <c r="D34" s="49" t="n">
        <v>0.746</v>
      </c>
      <c r="E34" s="49" t="n">
        <v>0.426</v>
      </c>
      <c r="F34" s="49" t="n">
        <v>0.218</v>
      </c>
      <c r="G34" s="49" t="n">
        <v>0.067</v>
      </c>
    </row>
    <row r="35">
      <c r="A35" s="39" t="inlineStr">
        <is>
          <t>Gardner Webb</t>
        </is>
      </c>
      <c r="B35" s="49" t="n">
        <v>0.036</v>
      </c>
      <c r="C35" s="49" t="n">
        <v>0.017</v>
      </c>
      <c r="D35" s="49" t="n">
        <v>0.01</v>
      </c>
      <c r="E35" s="49" t="n">
        <v>0.007</v>
      </c>
      <c r="F35" s="49" t="n">
        <v>0.003</v>
      </c>
      <c r="G35" s="49" t="n">
        <v>0.002</v>
      </c>
    </row>
    <row r="36">
      <c r="A36" s="39" t="inlineStr">
        <is>
          <t>Mississippi State</t>
        </is>
      </c>
      <c r="B36" s="49" t="n">
        <v>0.518</v>
      </c>
      <c r="C36" s="49" t="n">
        <v>0.041</v>
      </c>
      <c r="D36" s="49" t="n">
        <v>0.017</v>
      </c>
      <c r="E36" s="49" t="n">
        <v>0.005</v>
      </c>
      <c r="F36" s="49" t="n">
        <v>0.002</v>
      </c>
      <c r="G36" s="49" t="n">
        <v>0.001</v>
      </c>
    </row>
    <row r="37">
      <c r="A37" s="39" t="inlineStr">
        <is>
          <t>Oklahoma</t>
        </is>
      </c>
      <c r="B37" s="49" t="n">
        <v>0.482</v>
      </c>
      <c r="C37" s="49" t="n">
        <v>0.045</v>
      </c>
      <c r="D37" s="49" t="n">
        <v>0.018</v>
      </c>
      <c r="E37" s="49" t="n">
        <v>0.006</v>
      </c>
      <c r="F37" s="49" t="n">
        <v>0.002</v>
      </c>
      <c r="G37" s="49" t="n">
        <v>0.001</v>
      </c>
    </row>
    <row r="38">
      <c r="A38" s="39" t="inlineStr">
        <is>
          <t>Wisconsin</t>
        </is>
      </c>
      <c r="B38" s="49" t="n">
        <v>0.613</v>
      </c>
      <c r="C38" s="49" t="n">
        <v>0.307</v>
      </c>
      <c r="D38" s="49" t="n">
        <v>0.07000000000000001</v>
      </c>
      <c r="E38" s="49" t="n">
        <v>0.024</v>
      </c>
      <c r="F38" s="49" t="n">
        <v>0.008</v>
      </c>
      <c r="G38" s="49" t="n">
        <v>0.003</v>
      </c>
    </row>
    <row r="39">
      <c r="A39" s="39" t="inlineStr">
        <is>
          <t>Oregon</t>
        </is>
      </c>
      <c r="B39" s="49" t="n">
        <v>0.387</v>
      </c>
      <c r="C39" s="49" t="n">
        <v>0.177</v>
      </c>
      <c r="D39" s="49" t="n">
        <v>0.037</v>
      </c>
      <c r="E39" s="49" t="n">
        <v>0.013</v>
      </c>
      <c r="F39" s="49" t="n">
        <v>0.004</v>
      </c>
      <c r="G39" s="49" t="n">
        <v>0.002</v>
      </c>
    </row>
    <row r="40">
      <c r="A40" s="39" t="inlineStr">
        <is>
          <t>Kansas State</t>
        </is>
      </c>
      <c r="B40" s="49" t="n">
        <v>0.822</v>
      </c>
      <c r="C40" s="49" t="n">
        <v>0.459</v>
      </c>
      <c r="D40" s="49" t="n">
        <v>0.091</v>
      </c>
      <c r="E40" s="49" t="n">
        <v>0.03</v>
      </c>
      <c r="F40" s="49" t="n">
        <v>0.008</v>
      </c>
      <c r="G40" s="49" t="n">
        <v>0.003</v>
      </c>
    </row>
    <row r="41">
      <c r="A41" s="39" t="inlineStr">
        <is>
          <t>UC Irvine</t>
        </is>
      </c>
      <c r="B41" s="49" t="n">
        <v>0.178</v>
      </c>
      <c r="C41" s="49" t="n">
        <v>0.057</v>
      </c>
      <c r="D41" s="49" t="n">
        <v>0.011</v>
      </c>
      <c r="E41" s="49" t="n">
        <v>0.004</v>
      </c>
      <c r="F41" s="49" t="n">
        <v>0.002</v>
      </c>
      <c r="G41" s="49" t="n">
        <v>0.001</v>
      </c>
    </row>
    <row r="42">
      <c r="A42" s="39" t="inlineStr">
        <is>
          <t>Villanova</t>
        </is>
      </c>
      <c r="B42" s="49" t="n">
        <v>0.773</v>
      </c>
      <c r="C42" s="49" t="n">
        <v>0.397</v>
      </c>
      <c r="D42" s="49" t="n">
        <v>0.149</v>
      </c>
      <c r="E42" s="49" t="n">
        <v>0.067</v>
      </c>
      <c r="F42" s="49" t="n">
        <v>0.021</v>
      </c>
      <c r="G42" s="49" t="n">
        <v>0.007</v>
      </c>
    </row>
    <row r="43">
      <c r="A43" s="39" t="inlineStr">
        <is>
          <t>Saint Mary's</t>
        </is>
      </c>
      <c r="B43" s="49" t="n">
        <v>0.227</v>
      </c>
      <c r="C43" s="49" t="n">
        <v>0.075</v>
      </c>
      <c r="D43" s="49" t="n">
        <v>0.017</v>
      </c>
      <c r="E43" s="49" t="n">
        <v>0.006</v>
      </c>
      <c r="F43" s="49" t="n">
        <v>0.002</v>
      </c>
      <c r="G43" s="49" t="n">
        <v>0.001</v>
      </c>
    </row>
    <row r="44">
      <c r="A44" s="39" t="inlineStr">
        <is>
          <t>Purdue</t>
        </is>
      </c>
      <c r="B44" s="49" t="n">
        <v>0.899</v>
      </c>
      <c r="C44" s="49" t="n">
        <v>0.499</v>
      </c>
      <c r="D44" s="49" t="n">
        <v>0.16</v>
      </c>
      <c r="E44" s="49" t="n">
        <v>0.068</v>
      </c>
      <c r="F44" s="49" t="n">
        <v>0.02</v>
      </c>
      <c r="G44" s="49" t="n">
        <v>0.007</v>
      </c>
    </row>
    <row r="45">
      <c r="A45" s="39" t="inlineStr">
        <is>
          <t>Old Dominion</t>
        </is>
      </c>
      <c r="B45" s="49" t="n">
        <v>0.102</v>
      </c>
      <c r="C45" s="49" t="n">
        <v>0.029</v>
      </c>
      <c r="D45" s="49" t="n">
        <v>0.007</v>
      </c>
      <c r="E45" s="49" t="n">
        <v>0.003</v>
      </c>
      <c r="F45" s="49" t="n">
        <v>0.001</v>
      </c>
      <c r="G45" s="49" t="n">
        <v>0.001</v>
      </c>
    </row>
    <row r="46">
      <c r="A46" s="39" t="inlineStr">
        <is>
          <t>Cincinnati</t>
        </is>
      </c>
      <c r="B46" s="49" t="n">
        <v>0.674</v>
      </c>
      <c r="C46" s="49" t="n">
        <v>0.12</v>
      </c>
      <c r="D46" s="49" t="n">
        <v>0.05</v>
      </c>
      <c r="E46" s="49" t="n">
        <v>0.017</v>
      </c>
      <c r="F46" s="49" t="n">
        <v>0.004</v>
      </c>
      <c r="G46" s="49" t="n">
        <v>0.002</v>
      </c>
    </row>
    <row r="47">
      <c r="A47" s="39" t="inlineStr">
        <is>
          <t>Iowa</t>
        </is>
      </c>
      <c r="B47" s="49" t="n">
        <v>0.326</v>
      </c>
      <c r="C47" s="49" t="n">
        <v>0.047</v>
      </c>
      <c r="D47" s="49" t="n">
        <v>0.015</v>
      </c>
      <c r="E47" s="49" t="n">
        <v>0.005</v>
      </c>
      <c r="F47" s="49" t="n">
        <v>0.002</v>
      </c>
      <c r="G47" s="49" t="n">
        <v>0.001</v>
      </c>
    </row>
    <row r="48">
      <c r="A48" s="39" t="inlineStr">
        <is>
          <t>Tennessee</t>
        </is>
      </c>
      <c r="B48" s="49" t="n">
        <v>0.957</v>
      </c>
      <c r="C48" s="49" t="n">
        <v>0.8139999999999999</v>
      </c>
      <c r="D48" s="49" t="n">
        <v>0.591</v>
      </c>
      <c r="E48" s="49" t="n">
        <v>0.315</v>
      </c>
      <c r="F48" s="49" t="n">
        <v>0.124</v>
      </c>
      <c r="G48" s="49" t="n">
        <v>0.043</v>
      </c>
    </row>
    <row r="49">
      <c r="A49" s="39" t="inlineStr">
        <is>
          <t>Colgate</t>
        </is>
      </c>
      <c r="B49" s="49" t="n">
        <v>0.043</v>
      </c>
      <c r="C49" s="49" t="n">
        <v>0.019</v>
      </c>
      <c r="D49" s="49" t="n">
        <v>0.011</v>
      </c>
      <c r="E49" s="49" t="n">
        <v>0.003</v>
      </c>
      <c r="F49" s="49" t="n">
        <v>0.001</v>
      </c>
      <c r="G49" s="49" t="n">
        <v>0.001</v>
      </c>
    </row>
    <row r="50">
      <c r="A50" s="39" t="inlineStr">
        <is>
          <t>North Carolina</t>
        </is>
      </c>
      <c r="B50" s="49" t="n">
        <v>0.971</v>
      </c>
      <c r="C50" s="49" t="n">
        <v>0.925</v>
      </c>
      <c r="D50" s="49" t="n">
        <v>0.779</v>
      </c>
      <c r="E50" s="49" t="n">
        <v>0.574</v>
      </c>
      <c r="F50" s="49" t="n">
        <v>0.355</v>
      </c>
      <c r="G50" s="49" t="n">
        <v>0.143</v>
      </c>
    </row>
    <row r="51">
      <c r="A51" s="39" t="inlineStr">
        <is>
          <t>Iona</t>
        </is>
      </c>
      <c r="B51" s="49" t="n">
        <v>0.029</v>
      </c>
      <c r="C51" s="49" t="n">
        <v>0.015</v>
      </c>
      <c r="D51" s="49" t="n">
        <v>0.008999999999999999</v>
      </c>
      <c r="E51" s="49" t="n">
        <v>0.006</v>
      </c>
      <c r="F51" s="49" t="n">
        <v>0.003</v>
      </c>
      <c r="G51" s="49" t="n">
        <v>0.002</v>
      </c>
    </row>
    <row r="52">
      <c r="A52" s="39" t="inlineStr">
        <is>
          <t>Utah State</t>
        </is>
      </c>
      <c r="B52" s="49" t="n">
        <v>0.507</v>
      </c>
      <c r="C52" s="49" t="n">
        <v>0.031</v>
      </c>
      <c r="D52" s="49" t="n">
        <v>0.013</v>
      </c>
      <c r="E52" s="49" t="n">
        <v>0.005</v>
      </c>
      <c r="F52" s="49" t="n">
        <v>0.002</v>
      </c>
      <c r="G52" s="49" t="n">
        <v>0.001</v>
      </c>
    </row>
    <row r="53">
      <c r="A53" s="39" t="inlineStr">
        <is>
          <t>Washington</t>
        </is>
      </c>
      <c r="B53" s="49" t="n">
        <v>0.493</v>
      </c>
      <c r="C53" s="49" t="n">
        <v>0.03</v>
      </c>
      <c r="D53" s="49" t="n">
        <v>0.013</v>
      </c>
      <c r="E53" s="49" t="n">
        <v>0.005</v>
      </c>
      <c r="F53" s="49" t="n">
        <v>0.003</v>
      </c>
      <c r="G53" s="49" t="n">
        <v>0.001</v>
      </c>
    </row>
    <row r="54">
      <c r="A54" s="39" t="inlineStr">
        <is>
          <t>Auburn</t>
        </is>
      </c>
      <c r="B54" s="49" t="n">
        <v>0.823</v>
      </c>
      <c r="C54" s="49" t="n">
        <v>0.421</v>
      </c>
      <c r="D54" s="49" t="n">
        <v>0.08500000000000001</v>
      </c>
      <c r="E54" s="49" t="n">
        <v>0.04</v>
      </c>
      <c r="F54" s="49" t="n">
        <v>0.018</v>
      </c>
      <c r="G54" s="49" t="n">
        <v>0.007</v>
      </c>
    </row>
    <row r="55">
      <c r="A55" s="39" t="inlineStr">
        <is>
          <t>New Mexico State</t>
        </is>
      </c>
      <c r="B55" s="49" t="n">
        <v>0.177</v>
      </c>
      <c r="C55" s="49" t="n">
        <v>0.058</v>
      </c>
      <c r="D55" s="49" t="n">
        <v>0.01</v>
      </c>
      <c r="E55" s="49" t="n">
        <v>0.004</v>
      </c>
      <c r="F55" s="49" t="n">
        <v>0.001</v>
      </c>
      <c r="G55" s="49" t="n">
        <v>0.001</v>
      </c>
    </row>
    <row r="56">
      <c r="A56" s="39" t="inlineStr">
        <is>
          <t>Kansas</t>
        </is>
      </c>
      <c r="B56" s="49" t="n">
        <v>0.899</v>
      </c>
      <c r="C56" s="49" t="n">
        <v>0.493</v>
      </c>
      <c r="D56" s="49" t="n">
        <v>0.08599999999999999</v>
      </c>
      <c r="E56" s="49" t="n">
        <v>0.041</v>
      </c>
      <c r="F56" s="49" t="n">
        <v>0.02</v>
      </c>
      <c r="G56" s="49" t="n">
        <v>0.008</v>
      </c>
    </row>
    <row r="57">
      <c r="A57" s="39" t="inlineStr">
        <is>
          <t>Northeastern</t>
        </is>
      </c>
      <c r="B57" s="49" t="n">
        <v>0.101</v>
      </c>
      <c r="C57" s="49" t="n">
        <v>0.028</v>
      </c>
      <c r="D57" s="49" t="n">
        <v>0.007</v>
      </c>
      <c r="E57" s="49" t="n">
        <v>0.003</v>
      </c>
      <c r="F57" s="49" t="n">
        <v>0.001</v>
      </c>
      <c r="G57" s="49" t="n">
        <v>0.001</v>
      </c>
    </row>
    <row r="58">
      <c r="A58" s="39" t="inlineStr">
        <is>
          <t>Iowa State</t>
        </is>
      </c>
      <c r="B58" s="49" t="n">
        <v>0.711</v>
      </c>
      <c r="C58" s="49" t="n">
        <v>0.291</v>
      </c>
      <c r="D58" s="49" t="n">
        <v>0.08400000000000001</v>
      </c>
      <c r="E58" s="49" t="n">
        <v>0.021</v>
      </c>
      <c r="F58" s="49" t="n">
        <v>0.008</v>
      </c>
      <c r="G58" s="49" t="n">
        <v>0.003</v>
      </c>
    </row>
    <row r="59">
      <c r="A59" s="39" t="inlineStr">
        <is>
          <t>Ohio State</t>
        </is>
      </c>
      <c r="B59" s="49" t="n">
        <v>0.289</v>
      </c>
      <c r="C59" s="49" t="n">
        <v>0.092</v>
      </c>
      <c r="D59" s="49" t="n">
        <v>0.021</v>
      </c>
      <c r="E59" s="49" t="n">
        <v>0.007</v>
      </c>
      <c r="F59" s="49" t="n">
        <v>0.003</v>
      </c>
      <c r="G59" s="49" t="n">
        <v>0.002</v>
      </c>
    </row>
    <row r="60">
      <c r="A60" s="39" t="inlineStr">
        <is>
          <t>Houston</t>
        </is>
      </c>
      <c r="B60" s="49" t="n">
        <v>0.91</v>
      </c>
      <c r="C60" s="49" t="n">
        <v>0.588</v>
      </c>
      <c r="D60" s="49" t="n">
        <v>0.181</v>
      </c>
      <c r="E60" s="49" t="n">
        <v>0.057</v>
      </c>
      <c r="F60" s="49" t="n">
        <v>0.024</v>
      </c>
      <c r="G60" s="49" t="n">
        <v>0.007</v>
      </c>
    </row>
    <row r="61">
      <c r="A61" s="39" t="inlineStr">
        <is>
          <t>Georgia State</t>
        </is>
      </c>
      <c r="B61" s="49" t="n">
        <v>0.09</v>
      </c>
      <c r="C61" s="49" t="n">
        <v>0.029</v>
      </c>
      <c r="D61" s="49" t="n">
        <v>0.007</v>
      </c>
      <c r="E61" s="49" t="n">
        <v>0.003</v>
      </c>
      <c r="F61" s="49" t="n">
        <v>0.001</v>
      </c>
      <c r="G61" s="49" t="n">
        <v>0.001</v>
      </c>
    </row>
    <row r="62">
      <c r="A62" s="39" t="inlineStr">
        <is>
          <t>Wofford</t>
        </is>
      </c>
      <c r="B62" s="49" t="n">
        <v>0.528</v>
      </c>
      <c r="C62" s="49" t="n">
        <v>0.081</v>
      </c>
      <c r="D62" s="49" t="n">
        <v>0.035</v>
      </c>
      <c r="E62" s="49" t="n">
        <v>0.011</v>
      </c>
      <c r="F62" s="49" t="n">
        <v>0.004</v>
      </c>
      <c r="G62" s="49" t="n">
        <v>0.002</v>
      </c>
    </row>
    <row r="63">
      <c r="A63" s="39" t="inlineStr">
        <is>
          <t>Seton Hall</t>
        </is>
      </c>
      <c r="B63" s="49" t="n">
        <v>0.472</v>
      </c>
      <c r="C63" s="49" t="n">
        <v>0.054</v>
      </c>
      <c r="D63" s="49" t="n">
        <v>0.021</v>
      </c>
      <c r="E63" s="49" t="n">
        <v>0.006</v>
      </c>
      <c r="F63" s="49" t="n">
        <v>0.002</v>
      </c>
      <c r="G63" s="49" t="n">
        <v>0.001</v>
      </c>
    </row>
    <row r="64">
      <c r="A64" s="39" t="inlineStr">
        <is>
          <t>Kentucky</t>
        </is>
      </c>
      <c r="B64" s="49" t="n">
        <v>0.963</v>
      </c>
      <c r="C64" s="49" t="n">
        <v>0.847</v>
      </c>
      <c r="D64" s="49" t="n">
        <v>0.641</v>
      </c>
      <c r="E64" s="49" t="n">
        <v>0.216</v>
      </c>
      <c r="F64" s="49" t="n">
        <v>0.131</v>
      </c>
      <c r="G64" s="49" t="n">
        <v>0.05</v>
      </c>
    </row>
    <row r="65">
      <c r="A65" s="39" t="inlineStr">
        <is>
          <t>Abilene Christian</t>
        </is>
      </c>
      <c r="B65" s="49" t="n">
        <v>0.037</v>
      </c>
      <c r="C65" s="49" t="n">
        <v>0.018</v>
      </c>
      <c r="D65" s="49" t="n">
        <v>0.011</v>
      </c>
      <c r="E65" s="49" t="n">
        <v>0.003</v>
      </c>
      <c r="F65" s="49" t="n">
        <v>0.002</v>
      </c>
      <c r="G65" s="49" t="n">
        <v>0.001</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O66"/>
  <sheetViews>
    <sheetView topLeftCell="A32" workbookViewId="0">
      <selection activeCell="AF66" sqref="AF3:AK66"/>
    </sheetView>
  </sheetViews>
  <sheetFormatPr baseColWidth="8" defaultRowHeight="15"/>
  <cols>
    <col width="18" bestFit="1" customWidth="1" style="38" min="1" max="1"/>
    <col width="4.5703125" bestFit="1" customWidth="1" style="38" min="2" max="17"/>
    <col width="3.5703125" bestFit="1" customWidth="1" style="38" min="18" max="19"/>
    <col width="5.140625" bestFit="1" customWidth="1" style="38" min="20" max="31"/>
    <col width="6" bestFit="1" customWidth="1" style="38" min="32" max="37"/>
    <col width="5.140625" bestFit="1" customWidth="1" style="38" min="38" max="67"/>
    <col width="9.140625" customWidth="1" style="38" min="68" max="16384"/>
  </cols>
  <sheetData>
    <row r="1">
      <c r="A1" s="41" t="inlineStr">
        <is>
          <t>Team</t>
        </is>
      </c>
      <c r="B1" s="147" t="inlineStr">
        <is>
          <t>S</t>
        </is>
      </c>
      <c r="C1" s="38" t="n"/>
      <c r="D1" s="38" t="n"/>
      <c r="E1" s="38" t="n"/>
      <c r="F1" s="38" t="n"/>
      <c r="G1" s="38" t="n"/>
      <c r="H1" s="147" t="inlineStr">
        <is>
          <t>p0</t>
        </is>
      </c>
      <c r="I1" s="38" t="n"/>
      <c r="J1" s="38" t="n"/>
      <c r="K1" s="38" t="n"/>
      <c r="L1" s="38" t="n"/>
      <c r="M1" s="38" t="n"/>
      <c r="N1" s="147" t="inlineStr">
        <is>
          <t>p0f0</t>
        </is>
      </c>
      <c r="O1" s="38" t="n"/>
      <c r="P1" s="38" t="n"/>
      <c r="Q1" s="38" t="n"/>
      <c r="R1" s="38" t="n"/>
      <c r="S1" s="38" t="n"/>
      <c r="T1" s="147" t="inlineStr">
        <is>
          <t>Expected point difference</t>
        </is>
      </c>
      <c r="U1" s="38" t="n"/>
      <c r="V1" s="38" t="n"/>
      <c r="W1" s="38" t="n"/>
      <c r="X1" s="38" t="n"/>
      <c r="Y1" s="38" t="n"/>
      <c r="Z1" s="147" t="inlineStr">
        <is>
          <t>Ratio</t>
        </is>
      </c>
      <c r="AA1" s="38" t="n"/>
      <c r="AB1" s="38" t="n"/>
      <c r="AC1" s="38" t="n"/>
      <c r="AD1" s="38" t="n"/>
      <c r="AE1" s="38" t="n"/>
      <c r="AF1" s="147" t="inlineStr">
        <is>
          <t>Variance</t>
        </is>
      </c>
      <c r="AG1" s="38" t="n"/>
      <c r="AH1" s="38" t="n"/>
      <c r="AI1" s="38" t="n"/>
      <c r="AJ1" s="38" t="n"/>
      <c r="AK1" s="38" t="n"/>
      <c r="AL1" s="147" t="inlineStr">
        <is>
          <t>Variance difference</t>
        </is>
      </c>
      <c r="AM1" s="38" t="n"/>
      <c r="AN1" s="38" t="n"/>
      <c r="AO1" s="38" t="n"/>
      <c r="AP1" s="38" t="n"/>
      <c r="AQ1" s="38" t="n"/>
      <c r="AR1" s="147" t="inlineStr">
        <is>
          <t>Ratio</t>
        </is>
      </c>
      <c r="AS1" s="38" t="n"/>
      <c r="AT1" s="38" t="n"/>
      <c r="AU1" s="38" t="n"/>
      <c r="AV1" s="38" t="n"/>
      <c r="AW1" s="38" t="n"/>
      <c r="AX1" s="147" t="inlineStr">
        <is>
          <t>Value ratio</t>
        </is>
      </c>
      <c r="AY1" s="38" t="n"/>
      <c r="AZ1" s="38" t="n"/>
      <c r="BA1" s="38" t="n"/>
      <c r="BB1" s="38" t="n"/>
      <c r="BC1" s="38" t="n"/>
      <c r="BD1" s="147" t="inlineStr">
        <is>
          <t>Value</t>
        </is>
      </c>
      <c r="BE1" s="38" t="n"/>
      <c r="BF1" s="38" t="n"/>
      <c r="BG1" s="38" t="n"/>
      <c r="BH1" s="38" t="n"/>
      <c r="BI1" s="38" t="n"/>
      <c r="BJ1" s="147" t="inlineStr">
        <is>
          <t>BAB</t>
        </is>
      </c>
      <c r="BK1" s="38" t="n"/>
      <c r="BL1" s="38" t="n"/>
      <c r="BM1" s="38" t="n"/>
      <c r="BN1" s="38" t="n"/>
      <c r="BO1" s="38" t="n"/>
    </row>
    <row r="2">
      <c r="A2" s="190" t="n"/>
      <c r="B2" s="147" t="inlineStr">
        <is>
          <t>R64</t>
        </is>
      </c>
      <c r="C2" s="147" t="inlineStr">
        <is>
          <t>R32</t>
        </is>
      </c>
      <c r="D2" s="147" t="inlineStr">
        <is>
          <t>S16</t>
        </is>
      </c>
      <c r="E2" s="147" t="inlineStr">
        <is>
          <t>E8</t>
        </is>
      </c>
      <c r="F2" s="147" t="inlineStr">
        <is>
          <t>F4</t>
        </is>
      </c>
      <c r="G2" s="147" t="inlineStr">
        <is>
          <t>C2</t>
        </is>
      </c>
      <c r="H2" s="147" t="inlineStr">
        <is>
          <t>R64</t>
        </is>
      </c>
      <c r="I2" s="147" t="inlineStr">
        <is>
          <t>R32</t>
        </is>
      </c>
      <c r="J2" s="147" t="inlineStr">
        <is>
          <t>S16</t>
        </is>
      </c>
      <c r="K2" s="147" t="inlineStr">
        <is>
          <t>E8</t>
        </is>
      </c>
      <c r="L2" s="147" t="inlineStr">
        <is>
          <t>F4</t>
        </is>
      </c>
      <c r="M2" s="147" t="inlineStr">
        <is>
          <t>C2</t>
        </is>
      </c>
      <c r="N2" s="147" t="inlineStr">
        <is>
          <t>R64</t>
        </is>
      </c>
      <c r="O2" s="147" t="inlineStr">
        <is>
          <t>R32</t>
        </is>
      </c>
      <c r="P2" s="147" t="inlineStr">
        <is>
          <t>S16</t>
        </is>
      </c>
      <c r="Q2" s="147" t="inlineStr">
        <is>
          <t>E8</t>
        </is>
      </c>
      <c r="R2" s="147" t="inlineStr">
        <is>
          <t>F4</t>
        </is>
      </c>
      <c r="S2" s="147" t="inlineStr">
        <is>
          <t>C2</t>
        </is>
      </c>
      <c r="T2" s="147" t="inlineStr">
        <is>
          <t>R64</t>
        </is>
      </c>
      <c r="U2" s="147" t="inlineStr">
        <is>
          <t>R32</t>
        </is>
      </c>
      <c r="V2" s="147" t="inlineStr">
        <is>
          <t>S16</t>
        </is>
      </c>
      <c r="W2" s="147" t="inlineStr">
        <is>
          <t>E8</t>
        </is>
      </c>
      <c r="X2" s="147" t="inlineStr">
        <is>
          <t>F4</t>
        </is>
      </c>
      <c r="Y2" s="147" t="inlineStr">
        <is>
          <t>C2</t>
        </is>
      </c>
      <c r="Z2" s="147" t="inlineStr">
        <is>
          <t>R64</t>
        </is>
      </c>
      <c r="AA2" s="147" t="inlineStr">
        <is>
          <t>R32</t>
        </is>
      </c>
      <c r="AB2" s="147" t="inlineStr">
        <is>
          <t>S16</t>
        </is>
      </c>
      <c r="AC2" s="147" t="inlineStr">
        <is>
          <t>E8</t>
        </is>
      </c>
      <c r="AD2" s="147" t="inlineStr">
        <is>
          <t>F4</t>
        </is>
      </c>
      <c r="AE2" s="147" t="inlineStr">
        <is>
          <t>C2</t>
        </is>
      </c>
      <c r="AF2" s="147" t="inlineStr">
        <is>
          <t>R64</t>
        </is>
      </c>
      <c r="AG2" s="147" t="inlineStr">
        <is>
          <t>R32</t>
        </is>
      </c>
      <c r="AH2" s="147" t="inlineStr">
        <is>
          <t>S16</t>
        </is>
      </c>
      <c r="AI2" s="147" t="inlineStr">
        <is>
          <t>E8</t>
        </is>
      </c>
      <c r="AJ2" s="147" t="inlineStr">
        <is>
          <t>F4</t>
        </is>
      </c>
      <c r="AK2" s="147" t="inlineStr">
        <is>
          <t>C2</t>
        </is>
      </c>
      <c r="AL2" s="147" t="inlineStr">
        <is>
          <t>R64</t>
        </is>
      </c>
      <c r="AM2" s="147" t="inlineStr">
        <is>
          <t>R32</t>
        </is>
      </c>
      <c r="AN2" s="147" t="inlineStr">
        <is>
          <t>S16</t>
        </is>
      </c>
      <c r="AO2" s="147" t="inlineStr">
        <is>
          <t>E8</t>
        </is>
      </c>
      <c r="AP2" s="147" t="inlineStr">
        <is>
          <t>F4</t>
        </is>
      </c>
      <c r="AQ2" s="147" t="inlineStr">
        <is>
          <t>C2</t>
        </is>
      </c>
      <c r="AR2" s="147" t="inlineStr">
        <is>
          <t>R64</t>
        </is>
      </c>
      <c r="AS2" s="147" t="inlineStr">
        <is>
          <t>R32</t>
        </is>
      </c>
      <c r="AT2" s="147" t="inlineStr">
        <is>
          <t>S16</t>
        </is>
      </c>
      <c r="AU2" s="147" t="inlineStr">
        <is>
          <t>E8</t>
        </is>
      </c>
      <c r="AV2" s="147" t="inlineStr">
        <is>
          <t>F4</t>
        </is>
      </c>
      <c r="AW2" s="147" t="inlineStr">
        <is>
          <t>C2</t>
        </is>
      </c>
      <c r="AX2" s="147" t="inlineStr">
        <is>
          <t>R64</t>
        </is>
      </c>
      <c r="AY2" s="147" t="inlineStr">
        <is>
          <t>R32</t>
        </is>
      </c>
      <c r="AZ2" s="147" t="inlineStr">
        <is>
          <t>S16</t>
        </is>
      </c>
      <c r="BA2" s="147" t="inlineStr">
        <is>
          <t>E8</t>
        </is>
      </c>
      <c r="BB2" s="147" t="inlineStr">
        <is>
          <t>F4</t>
        </is>
      </c>
      <c r="BC2" s="147" t="inlineStr">
        <is>
          <t>C2</t>
        </is>
      </c>
      <c r="BD2" s="147" t="inlineStr">
        <is>
          <t>R64</t>
        </is>
      </c>
      <c r="BE2" s="147" t="inlineStr">
        <is>
          <t>R32</t>
        </is>
      </c>
      <c r="BF2" s="147" t="inlineStr">
        <is>
          <t>S16</t>
        </is>
      </c>
      <c r="BG2" s="147" t="inlineStr">
        <is>
          <t>E8</t>
        </is>
      </c>
      <c r="BH2" s="147" t="inlineStr">
        <is>
          <t>F4</t>
        </is>
      </c>
      <c r="BI2" s="147" t="inlineStr">
        <is>
          <t>C2</t>
        </is>
      </c>
      <c r="BJ2" s="147" t="inlineStr">
        <is>
          <t>R64</t>
        </is>
      </c>
      <c r="BK2" s="147" t="inlineStr">
        <is>
          <t>R32</t>
        </is>
      </c>
      <c r="BL2" s="147" t="inlineStr">
        <is>
          <t>S16</t>
        </is>
      </c>
      <c r="BM2" s="147" t="inlineStr">
        <is>
          <t>E8</t>
        </is>
      </c>
      <c r="BN2" s="147" t="inlineStr">
        <is>
          <t>F4</t>
        </is>
      </c>
      <c r="BO2" s="147" t="inlineStr">
        <is>
          <t>C2</t>
        </is>
      </c>
    </row>
    <row r="3">
      <c r="A3" s="41" t="inlineStr">
        <is>
          <t>Duke</t>
        </is>
      </c>
      <c r="B3" s="51">
        <f>SUMPRODUCT('Brackets - prob'!B2:B3,'Brackets - freq'!B2:B3)</f>
        <v/>
      </c>
      <c r="C3" s="51">
        <f>SUMPRODUCT('Brackets - prob'!C2:C5,'Brackets - freq'!C2:C5)</f>
        <v/>
      </c>
      <c r="D3" s="51">
        <f>SUMPRODUCT('Brackets - prob'!D2:D9,'Brackets - freq'!D2:D9)</f>
        <v/>
      </c>
      <c r="E3" s="51">
        <f>SUMPRODUCT('Brackets - prob'!E2:E17,'Brackets - freq'!E2:E17)</f>
        <v/>
      </c>
      <c r="F3" s="51">
        <f>SUMPRODUCT('Brackets - prob'!F2:F33,'Brackets - freq'!F2:F33)</f>
        <v/>
      </c>
      <c r="G3" s="51">
        <f>SUMPRODUCT('Brackets - prob'!G2:G65,'Brackets - freq'!G2:G65)</f>
        <v/>
      </c>
      <c r="H3" s="52">
        <f>MAX('Brackets - prob'!B2:B3)</f>
        <v/>
      </c>
      <c r="I3" s="52">
        <f>MAX('Brackets - prob'!C2:C5)</f>
        <v/>
      </c>
      <c r="J3" s="52">
        <f>MAX('Brackets - prob'!D2:D9)</f>
        <v/>
      </c>
      <c r="K3" s="52">
        <f>MAX('Brackets - prob'!E2:E17)</f>
        <v/>
      </c>
      <c r="L3" s="52">
        <f>MAX('Brackets - prob'!F2:F33)</f>
        <v/>
      </c>
      <c r="M3" s="52">
        <f>MAX('Brackets - prob'!G2:G65)</f>
        <v/>
      </c>
      <c r="N3" s="53">
        <f>AVERAGEIF('Brackets - prob'!B2:B3,"="&amp;H3,'Brackets - freq'!B2:B3)*H3</f>
        <v/>
      </c>
      <c r="O3" s="53">
        <f>AVERAGEIF('Brackets - prob'!C2:C5,"="&amp;I3,'Brackets - freq'!C2:C5)*I3</f>
        <v/>
      </c>
      <c r="P3" s="53">
        <f>AVERAGEIF('Brackets - prob'!D2:D9,"="&amp;J3,'Brackets - freq'!D2:D9)*J3</f>
        <v/>
      </c>
      <c r="Q3" s="53">
        <f>AVERAGEIF('Brackets - prob'!E2:E17,"="&amp;K3,'Brackets - freq'!E2:E17)*K3</f>
        <v/>
      </c>
      <c r="R3" s="53">
        <f>AVERAGEIF('Brackets - prob'!F2:F33,"="&amp;L3,'Brackets - freq'!F2:F33)*L3</f>
        <v/>
      </c>
      <c r="S3" s="53">
        <f>AVERAGEIF('Brackets - prob'!G2:G65,"="&amp;M3,'Brackets - freq'!G2:G65)*M3</f>
        <v/>
      </c>
      <c r="T3" s="191">
        <f>Bracket!E$2*('Brackets - prob'!B2-H3)</f>
        <v/>
      </c>
      <c r="U3" s="191">
        <f>Bracket!F$2*('Brackets - prob'!C2-I3)</f>
        <v/>
      </c>
      <c r="V3" s="191">
        <f>Bracket!G$2*('Brackets - prob'!D2-J3)</f>
        <v/>
      </c>
      <c r="W3" s="191">
        <f>Bracket!H$2*('Brackets - prob'!E2-K3)</f>
        <v/>
      </c>
      <c r="X3" s="191">
        <f>Bracket!I$2*('Brackets - prob'!F2-L3)</f>
        <v/>
      </c>
      <c r="Y3" s="191">
        <f>Bracket!J$2*('Brackets - prob'!G2-M3)</f>
        <v/>
      </c>
      <c r="Z3" s="192">
        <f>SUM(T3:$T3)</f>
        <v/>
      </c>
      <c r="AA3" s="192">
        <f>SUM($T3:U3)</f>
        <v/>
      </c>
      <c r="AB3" s="192">
        <f>SUM($T3:V3)</f>
        <v/>
      </c>
      <c r="AC3" s="192">
        <f>SUM($T3:W3)</f>
        <v/>
      </c>
      <c r="AD3" s="192">
        <f>SUM($T3:X3)</f>
        <v/>
      </c>
      <c r="AE3" s="192">
        <f>SUM($T3:Y3)</f>
        <v/>
      </c>
      <c r="AF3" s="193">
        <f>'Brackets - prob'!B2*(1-'Brackets - prob'!B2-2*'Brackets - freq'!B2+2*B3)+B3-B3^2</f>
        <v/>
      </c>
      <c r="AG3" s="193">
        <f>'Brackets - prob'!C2*(1-'Brackets - prob'!C2-2*'Brackets - freq'!C2+2*C3)+C3-C3^2</f>
        <v/>
      </c>
      <c r="AH3" s="193">
        <f>'Brackets - prob'!D2*(1-'Brackets - prob'!D2-2*'Brackets - freq'!D2+2*D3)+D3-D3^2</f>
        <v/>
      </c>
      <c r="AI3" s="193">
        <f>'Brackets - prob'!E2*(1-'Brackets - prob'!E2-2*'Brackets - freq'!E2+2*E3)+E3-E3^2</f>
        <v/>
      </c>
      <c r="AJ3" s="193">
        <f>'Brackets - prob'!F2*(1-'Brackets - prob'!F2-2*'Brackets - freq'!F2+2*F3)+F3-F3^2</f>
        <v/>
      </c>
      <c r="AK3" s="193">
        <f>'Brackets - prob'!G2*(1-'Brackets - prob'!G2-2*'Brackets - freq'!G2+2*G3)+G3-G3^2</f>
        <v/>
      </c>
      <c r="AL3" s="194">
        <f>Bracket!E$2^2*(('Brackets - prob'!B2-H3)*(1+2*B3)-'Brackets - prob'!B2^2+H3^2-2*('Brackets - prob'!B2*'Brackets - freq'!B2-N3))</f>
        <v/>
      </c>
      <c r="AM3" s="194">
        <f>Bracket!F$2^2*(('Brackets - prob'!C2-I3)*(1+2*C3)-'Brackets - prob'!C2^2+I3^2-2*('Brackets - prob'!C2*'Brackets - freq'!C2-O3))</f>
        <v/>
      </c>
      <c r="AN3" s="194">
        <f>Bracket!G$2^2*(('Brackets - prob'!D2-J3)*(1+2*D3)-'Brackets - prob'!D2^2+J3^2-2*('Brackets - prob'!D2*'Brackets - freq'!D2-P3))</f>
        <v/>
      </c>
      <c r="AO3" s="194">
        <f>Bracket!H$2^2*(('Brackets - prob'!E2-K3)*(1+2*E3)-'Brackets - prob'!E2^2+K3^2-2*('Brackets - prob'!E2*'Brackets - freq'!E2-Q3))</f>
        <v/>
      </c>
      <c r="AP3" s="194">
        <f>Bracket!I$2^2*(('Brackets - prob'!F2-L3)*(1+2*F3)-'Brackets - prob'!F2^2+L3^2-2*('Brackets - prob'!F2*'Brackets - freq'!F2-R3))</f>
        <v/>
      </c>
      <c r="AQ3" s="194">
        <f>Bracket!J$2^2*(('Brackets - prob'!G2-M3)*(1+2*G3)-'Brackets - prob'!G2^2+M3^2-2*('Brackets - prob'!G2*'Brackets - freq'!G2-S3))</f>
        <v/>
      </c>
      <c r="AR3" s="192">
        <f>SUM($AL3:AL3)</f>
        <v/>
      </c>
      <c r="AS3" s="192">
        <f>SUM($AL3:AM3)</f>
        <v/>
      </c>
      <c r="AT3" s="192">
        <f>SUM($AL3:AN3)</f>
        <v/>
      </c>
      <c r="AU3" s="192">
        <f>SUM($AL3:AO3)</f>
        <v/>
      </c>
      <c r="AV3" s="192">
        <f>SUM($AL3:AP3)</f>
        <v/>
      </c>
      <c r="AW3" s="192">
        <f>SUM($AL3:AQ3)</f>
        <v/>
      </c>
      <c r="AX3" s="195">
        <f>IF(Z3=0,0,AR3/Z3)</f>
        <v/>
      </c>
      <c r="AY3" s="195">
        <f>IF(AA3=0,0,AS3/AA3)</f>
        <v/>
      </c>
      <c r="AZ3" s="195">
        <f>IF(AB3=0,0,AT3/AB3)</f>
        <v/>
      </c>
      <c r="BA3" s="195">
        <f>IF(AC3=0,0,AU3/AC3)</f>
        <v/>
      </c>
      <c r="BB3" s="195">
        <f>IF(AD3=0,0,AV3/AD3)</f>
        <v/>
      </c>
      <c r="BC3" s="195">
        <f>IF(AE3=0,0,AW3/AE3)</f>
        <v/>
      </c>
      <c r="BD3" s="196">
        <f>IF(OR(AX3=0,AX3&lt;=-1),1,0)</f>
        <v/>
      </c>
      <c r="BE3" s="196">
        <f>IF(OR(AY3=0,AY3&lt;=-1),1,0)</f>
        <v/>
      </c>
      <c r="BF3" s="196">
        <f>IF(OR(AZ3=0,AZ3&lt;=-1),1,0)</f>
        <v/>
      </c>
      <c r="BG3" s="196">
        <f>IF(OR(BA3=0,BA3&lt;=-1),1,0)</f>
        <v/>
      </c>
      <c r="BH3" s="196">
        <f>IF(OR(BB3=0,BB3&lt;=-1),1,0)</f>
        <v/>
      </c>
      <c r="BI3" s="196">
        <f>IF(OR(BC3=0,BC3&lt;=-1),1,0)</f>
        <v/>
      </c>
      <c r="BJ3" s="197">
        <f>IF(AND('Brackets - prob'!B2&gt;H3-0.5,'Brackets - freq'!B2/'Brackets - prob'!B2&lt;N3/H3^2),1,0)</f>
        <v/>
      </c>
      <c r="BK3" s="197">
        <f>IF(AND('Brackets - prob'!C2&gt;I3-0.5,'Brackets - freq'!C2/'Brackets - prob'!C2&lt;O3/I3^2),1,0)</f>
        <v/>
      </c>
      <c r="BL3" s="197">
        <f>IF(AND('Brackets - prob'!D2&gt;J3-0.5,'Brackets - freq'!D2/'Brackets - prob'!D2&lt;P3/J3^2),1,0)</f>
        <v/>
      </c>
      <c r="BM3" s="197">
        <f>IF(AND('Brackets - prob'!E2&gt;K3-0.5,'Brackets - freq'!E2/'Brackets - prob'!E2&lt;Q3/K3^2),1,0)</f>
        <v/>
      </c>
      <c r="BN3" s="197">
        <f>IF(AND('Brackets - prob'!F2&gt;L3-0.5,'Brackets - freq'!F2/'Brackets - prob'!F2&lt;R3/L3^2),1,0)</f>
        <v/>
      </c>
      <c r="BO3" s="197">
        <f>IF(AND('Brackets - prob'!G2&gt;M3-0.5,'Brackets - freq'!G2/'Brackets - prob'!G2&lt;S3/M3^2),1,0)</f>
        <v/>
      </c>
    </row>
    <row r="4">
      <c r="A4" s="41" t="inlineStr">
        <is>
          <t>NDS/NCC</t>
        </is>
      </c>
      <c r="B4" s="51">
        <f>B3</f>
        <v/>
      </c>
      <c r="C4" s="51">
        <f>C3</f>
        <v/>
      </c>
      <c r="D4" s="51">
        <f>D3</f>
        <v/>
      </c>
      <c r="E4" s="51">
        <f>E3</f>
        <v/>
      </c>
      <c r="F4" s="51">
        <f>F3</f>
        <v/>
      </c>
      <c r="G4" s="51">
        <f>G3</f>
        <v/>
      </c>
      <c r="H4" s="52">
        <f>H3</f>
        <v/>
      </c>
      <c r="I4" s="52">
        <f>I3</f>
        <v/>
      </c>
      <c r="J4" s="52">
        <f>J3</f>
        <v/>
      </c>
      <c r="K4" s="52">
        <f>K3</f>
        <v/>
      </c>
      <c r="L4" s="52">
        <f>L3</f>
        <v/>
      </c>
      <c r="M4" s="52">
        <f>M3</f>
        <v/>
      </c>
      <c r="N4" s="53">
        <f>N3</f>
        <v/>
      </c>
      <c r="O4" s="53">
        <f>O3</f>
        <v/>
      </c>
      <c r="P4" s="53">
        <f>P3</f>
        <v/>
      </c>
      <c r="Q4" s="53">
        <f>Q3</f>
        <v/>
      </c>
      <c r="R4" s="53">
        <f>R3</f>
        <v/>
      </c>
      <c r="S4" s="53">
        <f>S3</f>
        <v/>
      </c>
      <c r="T4" s="191">
        <f>Bracket!E$2*('Brackets - prob'!B3-H4)</f>
        <v/>
      </c>
      <c r="U4" s="191">
        <f>Bracket!F$2*('Brackets - prob'!C3-I4)</f>
        <v/>
      </c>
      <c r="V4" s="191">
        <f>Bracket!G$2*('Brackets - prob'!D3-J4)</f>
        <v/>
      </c>
      <c r="W4" s="191">
        <f>Bracket!H$2*('Brackets - prob'!E3-K4)</f>
        <v/>
      </c>
      <c r="X4" s="191">
        <f>Bracket!I$2*('Brackets - prob'!F3-L4)</f>
        <v/>
      </c>
      <c r="Y4" s="191">
        <f>Bracket!J$2*('Brackets - prob'!G3-M4)</f>
        <v/>
      </c>
      <c r="Z4" s="192">
        <f>SUM(T4:$T4)</f>
        <v/>
      </c>
      <c r="AA4" s="192">
        <f>SUM($T4:U4)</f>
        <v/>
      </c>
      <c r="AB4" s="192">
        <f>SUM($T4:V4)</f>
        <v/>
      </c>
      <c r="AC4" s="192">
        <f>SUM($T4:W4)</f>
        <v/>
      </c>
      <c r="AD4" s="192">
        <f>SUM($T4:X4)</f>
        <v/>
      </c>
      <c r="AE4" s="192">
        <f>SUM($T4:Y4)</f>
        <v/>
      </c>
      <c r="AF4" s="193">
        <f>'Brackets - prob'!B3*(1-'Brackets - prob'!B3-2*'Brackets - freq'!B3+2*B4)+B4-B4^2</f>
        <v/>
      </c>
      <c r="AG4" s="193">
        <f>'Brackets - prob'!C3*(1-'Brackets - prob'!C3-2*'Brackets - freq'!C3+2*C4)+C4-C4^2</f>
        <v/>
      </c>
      <c r="AH4" s="193">
        <f>'Brackets - prob'!D3*(1-'Brackets - prob'!D3-2*'Brackets - freq'!D3+2*D4)+D4-D4^2</f>
        <v/>
      </c>
      <c r="AI4" s="193">
        <f>'Brackets - prob'!E3*(1-'Brackets - prob'!E3-2*'Brackets - freq'!E3+2*E4)+E4-E4^2</f>
        <v/>
      </c>
      <c r="AJ4" s="193">
        <f>'Brackets - prob'!F3*(1-'Brackets - prob'!F3-2*'Brackets - freq'!F3+2*F4)+F4-F4^2</f>
        <v/>
      </c>
      <c r="AK4" s="193">
        <f>'Brackets - prob'!G3*(1-'Brackets - prob'!G3-2*'Brackets - freq'!G3+2*G4)+G4-G4^2</f>
        <v/>
      </c>
      <c r="AL4" s="194">
        <f>Bracket!E$2^2*(('Brackets - prob'!B3-H4)*(1+2*B4)-'Brackets - prob'!B3^2+H4^2-2*('Brackets - prob'!B3*'Brackets - freq'!B3-N4))</f>
        <v/>
      </c>
      <c r="AM4" s="194">
        <f>Bracket!F$2^2*(('Brackets - prob'!C3-I4)*(1+2*C4)-'Brackets - prob'!C3^2+I4^2-2*('Brackets - prob'!C3*'Brackets - freq'!C3-O4))</f>
        <v/>
      </c>
      <c r="AN4" s="194">
        <f>Bracket!G$2^2*(('Brackets - prob'!D3-J4)*(1+2*D4)-'Brackets - prob'!D3^2+J4^2-2*('Brackets - prob'!D3*'Brackets - freq'!D3-P4))</f>
        <v/>
      </c>
      <c r="AO4" s="194">
        <f>Bracket!H$2^2*(('Brackets - prob'!E3-K4)*(1+2*E4)-'Brackets - prob'!E3^2+K4^2-2*('Brackets - prob'!E3*'Brackets - freq'!E3-Q4))</f>
        <v/>
      </c>
      <c r="AP4" s="194">
        <f>Bracket!I$2^2*(('Brackets - prob'!F3-L4)*(1+2*F4)-'Brackets - prob'!F3^2+L4^2-2*('Brackets - prob'!F3*'Brackets - freq'!F3-R4))</f>
        <v/>
      </c>
      <c r="AQ4" s="194">
        <f>Bracket!J$2^2*(('Brackets - prob'!G3-M4)*(1+2*G4)-'Brackets - prob'!G3^2+M4^2-2*('Brackets - prob'!G3*'Brackets - freq'!G3-S4))</f>
        <v/>
      </c>
      <c r="AR4" s="192">
        <f>SUM($AL4:AL4)</f>
        <v/>
      </c>
      <c r="AS4" s="192">
        <f>SUM($AL4:AM4)</f>
        <v/>
      </c>
      <c r="AT4" s="192">
        <f>SUM($AL4:AN4)</f>
        <v/>
      </c>
      <c r="AU4" s="192">
        <f>SUM($AL4:AO4)</f>
        <v/>
      </c>
      <c r="AV4" s="192">
        <f>SUM($AL4:AP4)</f>
        <v/>
      </c>
      <c r="AW4" s="192">
        <f>SUM($AL4:AQ4)</f>
        <v/>
      </c>
      <c r="AX4" s="195">
        <f>IF(Z4=0,0,AR4/Z4)</f>
        <v/>
      </c>
      <c r="AY4" s="195">
        <f>IF(AA4=0,0,AS4/AA4)</f>
        <v/>
      </c>
      <c r="AZ4" s="195">
        <f>IF(AB4=0,0,AT4/AB4)</f>
        <v/>
      </c>
      <c r="BA4" s="195">
        <f>IF(AC4=0,0,AU4/AC4)</f>
        <v/>
      </c>
      <c r="BB4" s="195">
        <f>IF(AD4=0,0,AV4/AD4)</f>
        <v/>
      </c>
      <c r="BC4" s="195">
        <f>IF(AE4=0,0,AW4/AE4)</f>
        <v/>
      </c>
      <c r="BD4" s="196">
        <f>IF(OR(AX4=0,AX4&lt;=-1),1,0)</f>
        <v/>
      </c>
      <c r="BE4" s="196">
        <f>IF(OR(AY4=0,AY4&lt;=-1),1,0)</f>
        <v/>
      </c>
      <c r="BF4" s="196">
        <f>IF(OR(AZ4=0,AZ4&lt;=-1),1,0)</f>
        <v/>
      </c>
      <c r="BG4" s="196">
        <f>IF(OR(BA4=0,BA4&lt;=-1),1,0)</f>
        <v/>
      </c>
      <c r="BH4" s="196">
        <f>IF(OR(BB4=0,BB4&lt;=-1),1,0)</f>
        <v/>
      </c>
      <c r="BI4" s="196">
        <f>IF(OR(BC4=0,BC4&lt;=-1),1,0)</f>
        <v/>
      </c>
      <c r="BJ4" s="197">
        <f>IF(AND('Brackets - prob'!B3&gt;H4-0.5,'Brackets - freq'!B3/'Brackets - prob'!B3&lt;N4/H4^2),1,0)</f>
        <v/>
      </c>
      <c r="BK4" s="197">
        <f>IF(AND('Brackets - prob'!C3&gt;I4-0.5,'Brackets - freq'!C3/'Brackets - prob'!C3&lt;O4/I4^2),1,0)</f>
        <v/>
      </c>
      <c r="BL4" s="197">
        <f>IF(AND('Brackets - prob'!D3&gt;J4-0.5,'Brackets - freq'!D3/'Brackets - prob'!D3&lt;P4/J4^2),1,0)</f>
        <v/>
      </c>
      <c r="BM4" s="197">
        <f>IF(AND('Brackets - prob'!E3&gt;K4-0.5,'Brackets - freq'!E3/'Brackets - prob'!E3&lt;Q4/K4^2),1,0)</f>
        <v/>
      </c>
      <c r="BN4" s="197">
        <f>IF(AND('Brackets - prob'!F3&gt;L4-0.5,'Brackets - freq'!F3/'Brackets - prob'!F3&lt;R4/L4^2),1,0)</f>
        <v/>
      </c>
      <c r="BO4" s="197">
        <f>IF(AND('Brackets - prob'!G3&gt;M4-0.5,'Brackets - freq'!G3/'Brackets - prob'!G3&lt;S4/M4^2),1,0)</f>
        <v/>
      </c>
    </row>
    <row r="5">
      <c r="A5" s="41" t="inlineStr">
        <is>
          <t>VCU</t>
        </is>
      </c>
      <c r="B5" s="51">
        <f>SUMPRODUCT('Brackets - prob'!B4:B5,'Brackets - freq'!B4:B5)</f>
        <v/>
      </c>
      <c r="C5" s="51">
        <f>C4</f>
        <v/>
      </c>
      <c r="D5" s="51">
        <f>D4</f>
        <v/>
      </c>
      <c r="E5" s="51">
        <f>E4</f>
        <v/>
      </c>
      <c r="F5" s="51">
        <f>F4</f>
        <v/>
      </c>
      <c r="G5" s="51">
        <f>G4</f>
        <v/>
      </c>
      <c r="H5" s="52">
        <f>MAX('Brackets - prob'!B4:B5)</f>
        <v/>
      </c>
      <c r="I5" s="52">
        <f>I4</f>
        <v/>
      </c>
      <c r="J5" s="52">
        <f>J4</f>
        <v/>
      </c>
      <c r="K5" s="52">
        <f>K4</f>
        <v/>
      </c>
      <c r="L5" s="52">
        <f>L4</f>
        <v/>
      </c>
      <c r="M5" s="52">
        <f>M4</f>
        <v/>
      </c>
      <c r="N5" s="53">
        <f>AVERAGEIF('Brackets - prob'!B4:B5,"="&amp;H5,'Brackets - freq'!B4:B5)*H5</f>
        <v/>
      </c>
      <c r="O5" s="53">
        <f>O4</f>
        <v/>
      </c>
      <c r="P5" s="53">
        <f>P4</f>
        <v/>
      </c>
      <c r="Q5" s="53">
        <f>Q4</f>
        <v/>
      </c>
      <c r="R5" s="53">
        <f>R4</f>
        <v/>
      </c>
      <c r="S5" s="53">
        <f>S4</f>
        <v/>
      </c>
      <c r="T5" s="191">
        <f>Bracket!E$2*('Brackets - prob'!B4-H5)</f>
        <v/>
      </c>
      <c r="U5" s="191">
        <f>Bracket!F$2*('Brackets - prob'!C4-I5)</f>
        <v/>
      </c>
      <c r="V5" s="191">
        <f>Bracket!G$2*('Brackets - prob'!D4-J5)</f>
        <v/>
      </c>
      <c r="W5" s="191">
        <f>Bracket!H$2*('Brackets - prob'!E4-K5)</f>
        <v/>
      </c>
      <c r="X5" s="191">
        <f>Bracket!I$2*('Brackets - prob'!F4-L5)</f>
        <v/>
      </c>
      <c r="Y5" s="191">
        <f>Bracket!J$2*('Brackets - prob'!G4-M5)</f>
        <v/>
      </c>
      <c r="Z5" s="192">
        <f>SUM(T5:$T5)</f>
        <v/>
      </c>
      <c r="AA5" s="192">
        <f>SUM($T5:U5)</f>
        <v/>
      </c>
      <c r="AB5" s="192">
        <f>SUM($T5:V5)</f>
        <v/>
      </c>
      <c r="AC5" s="192">
        <f>SUM($T5:W5)</f>
        <v/>
      </c>
      <c r="AD5" s="192">
        <f>SUM($T5:X5)</f>
        <v/>
      </c>
      <c r="AE5" s="192">
        <f>SUM($T5:Y5)</f>
        <v/>
      </c>
      <c r="AF5" s="193">
        <f>'Brackets - prob'!B4*(1-'Brackets - prob'!B4-2*'Brackets - freq'!B4+2*B5)+B5-B5^2</f>
        <v/>
      </c>
      <c r="AG5" s="193">
        <f>'Brackets - prob'!C4*(1-'Brackets - prob'!C4-2*'Brackets - freq'!C4+2*C5)+C5-C5^2</f>
        <v/>
      </c>
      <c r="AH5" s="193">
        <f>'Brackets - prob'!D4*(1-'Brackets - prob'!D4-2*'Brackets - freq'!D4+2*D5)+D5-D5^2</f>
        <v/>
      </c>
      <c r="AI5" s="193">
        <f>'Brackets - prob'!E4*(1-'Brackets - prob'!E4-2*'Brackets - freq'!E4+2*E5)+E5-E5^2</f>
        <v/>
      </c>
      <c r="AJ5" s="193">
        <f>'Brackets - prob'!F4*(1-'Brackets - prob'!F4-2*'Brackets - freq'!F4+2*F5)+F5-F5^2</f>
        <v/>
      </c>
      <c r="AK5" s="193">
        <f>'Brackets - prob'!G4*(1-'Brackets - prob'!G4-2*'Brackets - freq'!G4+2*G5)+G5-G5^2</f>
        <v/>
      </c>
      <c r="AL5" s="194">
        <f>Bracket!E$2^2*(('Brackets - prob'!B4-H5)*(1+2*B5)-'Brackets - prob'!B4^2+H5^2-2*('Brackets - prob'!B4*'Brackets - freq'!B4-N5))</f>
        <v/>
      </c>
      <c r="AM5" s="194">
        <f>Bracket!F$2^2*(('Brackets - prob'!C4-I5)*(1+2*C5)-'Brackets - prob'!C4^2+I5^2-2*('Brackets - prob'!C4*'Brackets - freq'!C4-O5))</f>
        <v/>
      </c>
      <c r="AN5" s="194">
        <f>Bracket!G$2^2*(('Brackets - prob'!D4-J5)*(1+2*D5)-'Brackets - prob'!D4^2+J5^2-2*('Brackets - prob'!D4*'Brackets - freq'!D4-P5))</f>
        <v/>
      </c>
      <c r="AO5" s="194">
        <f>Bracket!H$2^2*(('Brackets - prob'!E4-K5)*(1+2*E5)-'Brackets - prob'!E4^2+K5^2-2*('Brackets - prob'!E4*'Brackets - freq'!E4-Q5))</f>
        <v/>
      </c>
      <c r="AP5" s="194">
        <f>Bracket!I$2^2*(('Brackets - prob'!F4-L5)*(1+2*F5)-'Brackets - prob'!F4^2+L5^2-2*('Brackets - prob'!F4*'Brackets - freq'!F4-R5))</f>
        <v/>
      </c>
      <c r="AQ5" s="194">
        <f>Bracket!J$2^2*(('Brackets - prob'!G4-M5)*(1+2*G5)-'Brackets - prob'!G4^2+M5^2-2*('Brackets - prob'!G4*'Brackets - freq'!G4-S5))</f>
        <v/>
      </c>
      <c r="AR5" s="192">
        <f>SUM($AL5:AL5)</f>
        <v/>
      </c>
      <c r="AS5" s="192">
        <f>SUM($AL5:AM5)</f>
        <v/>
      </c>
      <c r="AT5" s="192">
        <f>SUM($AL5:AN5)</f>
        <v/>
      </c>
      <c r="AU5" s="192">
        <f>SUM($AL5:AO5)</f>
        <v/>
      </c>
      <c r="AV5" s="192">
        <f>SUM($AL5:AP5)</f>
        <v/>
      </c>
      <c r="AW5" s="192">
        <f>SUM($AL5:AQ5)</f>
        <v/>
      </c>
      <c r="AX5" s="195">
        <f>IF(Z5=0,0,AR5/Z5)</f>
        <v/>
      </c>
      <c r="AY5" s="195">
        <f>IF(AA5=0,0,AS5/AA5)</f>
        <v/>
      </c>
      <c r="AZ5" s="195">
        <f>IF(AB5=0,0,AT5/AB5)</f>
        <v/>
      </c>
      <c r="BA5" s="195">
        <f>IF(AC5=0,0,AU5/AC5)</f>
        <v/>
      </c>
      <c r="BB5" s="195">
        <f>IF(AD5=0,0,AV5/AD5)</f>
        <v/>
      </c>
      <c r="BC5" s="195">
        <f>IF(AE5=0,0,AW5/AE5)</f>
        <v/>
      </c>
      <c r="BD5" s="196">
        <f>IF(OR(AX5=0,AX5&lt;=-1),1,0)</f>
        <v/>
      </c>
      <c r="BE5" s="196">
        <f>IF(OR(AY5=0,AY5&lt;=-1),1,0)</f>
        <v/>
      </c>
      <c r="BF5" s="196">
        <f>IF(OR(AZ5=0,AZ5&lt;=-1),1,0)</f>
        <v/>
      </c>
      <c r="BG5" s="196">
        <f>IF(OR(BA5=0,BA5&lt;=-1),1,0)</f>
        <v/>
      </c>
      <c r="BH5" s="196">
        <f>IF(OR(BB5=0,BB5&lt;=-1),1,0)</f>
        <v/>
      </c>
      <c r="BI5" s="196">
        <f>IF(OR(BC5=0,BC5&lt;=-1),1,0)</f>
        <v/>
      </c>
      <c r="BJ5" s="197">
        <f>IF(AND('Brackets - prob'!B4&gt;H5-0.5,'Brackets - freq'!B4/'Brackets - prob'!B4&lt;N5/H5^2),1,0)</f>
        <v/>
      </c>
      <c r="BK5" s="197">
        <f>IF(AND('Brackets - prob'!C4&gt;I5-0.5,'Brackets - freq'!C4/'Brackets - prob'!C4&lt;O5/I5^2),1,0)</f>
        <v/>
      </c>
      <c r="BL5" s="197">
        <f>IF(AND('Brackets - prob'!D4&gt;J5-0.5,'Brackets - freq'!D4/'Brackets - prob'!D4&lt;P5/J5^2),1,0)</f>
        <v/>
      </c>
      <c r="BM5" s="197">
        <f>IF(AND('Brackets - prob'!E4&gt;K5-0.5,'Brackets - freq'!E4/'Brackets - prob'!E4&lt;Q5/K5^2),1,0)</f>
        <v/>
      </c>
      <c r="BN5" s="197">
        <f>IF(AND('Brackets - prob'!F4&gt;L5-0.5,'Brackets - freq'!F4/'Brackets - prob'!F4&lt;R5/L5^2),1,0)</f>
        <v/>
      </c>
      <c r="BO5" s="197">
        <f>IF(AND('Brackets - prob'!G4&gt;M5-0.5,'Brackets - freq'!G4/'Brackets - prob'!G4&lt;S5/M5^2),1,0)</f>
        <v/>
      </c>
    </row>
    <row r="6">
      <c r="A6" s="41" t="inlineStr">
        <is>
          <t>UCF</t>
        </is>
      </c>
      <c r="B6" s="51">
        <f>B5</f>
        <v/>
      </c>
      <c r="C6" s="51">
        <f>C5</f>
        <v/>
      </c>
      <c r="D6" s="51">
        <f>D5</f>
        <v/>
      </c>
      <c r="E6" s="51">
        <f>E5</f>
        <v/>
      </c>
      <c r="F6" s="51">
        <f>F5</f>
        <v/>
      </c>
      <c r="G6" s="51">
        <f>G5</f>
        <v/>
      </c>
      <c r="H6" s="52">
        <f>H5</f>
        <v/>
      </c>
      <c r="I6" s="52">
        <f>I5</f>
        <v/>
      </c>
      <c r="J6" s="52">
        <f>J5</f>
        <v/>
      </c>
      <c r="K6" s="52">
        <f>K5</f>
        <v/>
      </c>
      <c r="L6" s="52">
        <f>L5</f>
        <v/>
      </c>
      <c r="M6" s="52">
        <f>M5</f>
        <v/>
      </c>
      <c r="N6" s="53">
        <f>N5</f>
        <v/>
      </c>
      <c r="O6" s="53">
        <f>O5</f>
        <v/>
      </c>
      <c r="P6" s="53">
        <f>P5</f>
        <v/>
      </c>
      <c r="Q6" s="53">
        <f>Q5</f>
        <v/>
      </c>
      <c r="R6" s="53">
        <f>R5</f>
        <v/>
      </c>
      <c r="S6" s="53">
        <f>S5</f>
        <v/>
      </c>
      <c r="T6" s="191">
        <f>Bracket!E$2*('Brackets - prob'!B5-H6)</f>
        <v/>
      </c>
      <c r="U6" s="191">
        <f>Bracket!F$2*('Brackets - prob'!C5-I6)</f>
        <v/>
      </c>
      <c r="V6" s="191">
        <f>Bracket!G$2*('Brackets - prob'!D5-J6)</f>
        <v/>
      </c>
      <c r="W6" s="191">
        <f>Bracket!H$2*('Brackets - prob'!E5-K6)</f>
        <v/>
      </c>
      <c r="X6" s="191">
        <f>Bracket!I$2*('Brackets - prob'!F5-L6)</f>
        <v/>
      </c>
      <c r="Y6" s="191">
        <f>Bracket!J$2*('Brackets - prob'!G5-M6)</f>
        <v/>
      </c>
      <c r="Z6" s="192">
        <f>SUM(T6:$T6)</f>
        <v/>
      </c>
      <c r="AA6" s="192">
        <f>SUM($T6:U6)</f>
        <v/>
      </c>
      <c r="AB6" s="192">
        <f>SUM($T6:V6)</f>
        <v/>
      </c>
      <c r="AC6" s="192">
        <f>SUM($T6:W6)</f>
        <v/>
      </c>
      <c r="AD6" s="192">
        <f>SUM($T6:X6)</f>
        <v/>
      </c>
      <c r="AE6" s="192">
        <f>SUM($T6:Y6)</f>
        <v/>
      </c>
      <c r="AF6" s="193">
        <f>'Brackets - prob'!B5*(1-'Brackets - prob'!B5-2*'Brackets - freq'!B5+2*B6)+B6-B6^2</f>
        <v/>
      </c>
      <c r="AG6" s="193">
        <f>'Brackets - prob'!C5*(1-'Brackets - prob'!C5-2*'Brackets - freq'!C5+2*C6)+C6-C6^2</f>
        <v/>
      </c>
      <c r="AH6" s="193">
        <f>'Brackets - prob'!D5*(1-'Brackets - prob'!D5-2*'Brackets - freq'!D5+2*D6)+D6-D6^2</f>
        <v/>
      </c>
      <c r="AI6" s="193">
        <f>'Brackets - prob'!E5*(1-'Brackets - prob'!E5-2*'Brackets - freq'!E5+2*E6)+E6-E6^2</f>
        <v/>
      </c>
      <c r="AJ6" s="193">
        <f>'Brackets - prob'!F5*(1-'Brackets - prob'!F5-2*'Brackets - freq'!F5+2*F6)+F6-F6^2</f>
        <v/>
      </c>
      <c r="AK6" s="193">
        <f>'Brackets - prob'!G5*(1-'Brackets - prob'!G5-2*'Brackets - freq'!G5+2*G6)+G6-G6^2</f>
        <v/>
      </c>
      <c r="AL6" s="194">
        <f>Bracket!E$2^2*(('Brackets - prob'!B5-H6)*(1+2*B6)-'Brackets - prob'!B5^2+H6^2-2*('Brackets - prob'!B5*'Brackets - freq'!B5-N6))</f>
        <v/>
      </c>
      <c r="AM6" s="194">
        <f>Bracket!F$2^2*(('Brackets - prob'!C5-I6)*(1+2*C6)-'Brackets - prob'!C5^2+I6^2-2*('Brackets - prob'!C5*'Brackets - freq'!C5-O6))</f>
        <v/>
      </c>
      <c r="AN6" s="194">
        <f>Bracket!G$2^2*(('Brackets - prob'!D5-J6)*(1+2*D6)-'Brackets - prob'!D5^2+J6^2-2*('Brackets - prob'!D5*'Brackets - freq'!D5-P6))</f>
        <v/>
      </c>
      <c r="AO6" s="194">
        <f>Bracket!H$2^2*(('Brackets - prob'!E5-K6)*(1+2*E6)-'Brackets - prob'!E5^2+K6^2-2*('Brackets - prob'!E5*'Brackets - freq'!E5-Q6))</f>
        <v/>
      </c>
      <c r="AP6" s="194">
        <f>Bracket!I$2^2*(('Brackets - prob'!F5-L6)*(1+2*F6)-'Brackets - prob'!F5^2+L6^2-2*('Brackets - prob'!F5*'Brackets - freq'!F5-R6))</f>
        <v/>
      </c>
      <c r="AQ6" s="194">
        <f>Bracket!J$2^2*(('Brackets - prob'!G5-M6)*(1+2*G6)-'Brackets - prob'!G5^2+M6^2-2*('Brackets - prob'!G5*'Brackets - freq'!G5-S6))</f>
        <v/>
      </c>
      <c r="AR6" s="192">
        <f>SUM($AL6:AL6)</f>
        <v/>
      </c>
      <c r="AS6" s="192">
        <f>SUM($AL6:AM6)</f>
        <v/>
      </c>
      <c r="AT6" s="192">
        <f>SUM($AL6:AN6)</f>
        <v/>
      </c>
      <c r="AU6" s="192">
        <f>SUM($AL6:AO6)</f>
        <v/>
      </c>
      <c r="AV6" s="192">
        <f>SUM($AL6:AP6)</f>
        <v/>
      </c>
      <c r="AW6" s="192">
        <f>SUM($AL6:AQ6)</f>
        <v/>
      </c>
      <c r="AX6" s="195">
        <f>IF(Z6=0,0,AR6/Z6)</f>
        <v/>
      </c>
      <c r="AY6" s="195">
        <f>IF(AA6=0,0,AS6/AA6)</f>
        <v/>
      </c>
      <c r="AZ6" s="195">
        <f>IF(AB6=0,0,AT6/AB6)</f>
        <v/>
      </c>
      <c r="BA6" s="195">
        <f>IF(AC6=0,0,AU6/AC6)</f>
        <v/>
      </c>
      <c r="BB6" s="195">
        <f>IF(AD6=0,0,AV6/AD6)</f>
        <v/>
      </c>
      <c r="BC6" s="195">
        <f>IF(AE6=0,0,AW6/AE6)</f>
        <v/>
      </c>
      <c r="BD6" s="196">
        <f>IF(OR(AX6=0,AX6&lt;=-1),1,0)</f>
        <v/>
      </c>
      <c r="BE6" s="196">
        <f>IF(OR(AY6=0,AY6&lt;=-1),1,0)</f>
        <v/>
      </c>
      <c r="BF6" s="196">
        <f>IF(OR(AZ6=0,AZ6&lt;=-1),1,0)</f>
        <v/>
      </c>
      <c r="BG6" s="196">
        <f>IF(OR(BA6=0,BA6&lt;=-1),1,0)</f>
        <v/>
      </c>
      <c r="BH6" s="196">
        <f>IF(OR(BB6=0,BB6&lt;=-1),1,0)</f>
        <v/>
      </c>
      <c r="BI6" s="196">
        <f>IF(OR(BC6=0,BC6&lt;=-1),1,0)</f>
        <v/>
      </c>
      <c r="BJ6" s="197">
        <f>IF(AND('Brackets - prob'!B5&gt;H6-0.5,'Brackets - freq'!B5/'Brackets - prob'!B5&lt;N6/H6^2),1,0)</f>
        <v/>
      </c>
      <c r="BK6" s="197">
        <f>IF(AND('Brackets - prob'!C5&gt;I6-0.5,'Brackets - freq'!C5/'Brackets - prob'!C5&lt;O6/I6^2),1,0)</f>
        <v/>
      </c>
      <c r="BL6" s="197">
        <f>IF(AND('Brackets - prob'!D5&gt;J6-0.5,'Brackets - freq'!D5/'Brackets - prob'!D5&lt;P6/J6^2),1,0)</f>
        <v/>
      </c>
      <c r="BM6" s="197">
        <f>IF(AND('Brackets - prob'!E5&gt;K6-0.5,'Brackets - freq'!E5/'Brackets - prob'!E5&lt;Q6/K6^2),1,0)</f>
        <v/>
      </c>
      <c r="BN6" s="197">
        <f>IF(AND('Brackets - prob'!F5&gt;L6-0.5,'Brackets - freq'!F5/'Brackets - prob'!F5&lt;R6/L6^2),1,0)</f>
        <v/>
      </c>
      <c r="BO6" s="197">
        <f>IF(AND('Brackets - prob'!G5&gt;M6-0.5,'Brackets - freq'!G5/'Brackets - prob'!G5&lt;S6/M6^2),1,0)</f>
        <v/>
      </c>
    </row>
    <row r="7">
      <c r="A7" s="41" t="inlineStr">
        <is>
          <t>Mississippi State</t>
        </is>
      </c>
      <c r="B7" s="51">
        <f>SUMPRODUCT('Brackets - prob'!B6:B7,'Brackets - freq'!B6:B7)</f>
        <v/>
      </c>
      <c r="C7" s="51">
        <f>SUMPRODUCT('Brackets - prob'!C6:C9,'Brackets - freq'!C6:C9)</f>
        <v/>
      </c>
      <c r="D7" s="51">
        <f>D6</f>
        <v/>
      </c>
      <c r="E7" s="51">
        <f>E6</f>
        <v/>
      </c>
      <c r="F7" s="51">
        <f>F6</f>
        <v/>
      </c>
      <c r="G7" s="51">
        <f>G6</f>
        <v/>
      </c>
      <c r="H7" s="52">
        <f>MAX('Brackets - prob'!B6:B7)</f>
        <v/>
      </c>
      <c r="I7" s="52">
        <f>MAX('Brackets - prob'!C6:C9)</f>
        <v/>
      </c>
      <c r="J7" s="52">
        <f>J6</f>
        <v/>
      </c>
      <c r="K7" s="52">
        <f>K6</f>
        <v/>
      </c>
      <c r="L7" s="52">
        <f>L6</f>
        <v/>
      </c>
      <c r="M7" s="52">
        <f>M6</f>
        <v/>
      </c>
      <c r="N7" s="53">
        <f>AVERAGEIF('Brackets - prob'!B6:B7,"="&amp;H7,'Brackets - freq'!B6:B7)*H7</f>
        <v/>
      </c>
      <c r="O7" s="53">
        <f>AVERAGEIF('Brackets - prob'!C6:C9,"="&amp;I7,'Brackets - freq'!C6:C9)*I7</f>
        <v/>
      </c>
      <c r="P7" s="53">
        <f>P6</f>
        <v/>
      </c>
      <c r="Q7" s="53">
        <f>Q6</f>
        <v/>
      </c>
      <c r="R7" s="53">
        <f>R6</f>
        <v/>
      </c>
      <c r="S7" s="53">
        <f>S6</f>
        <v/>
      </c>
      <c r="T7" s="191">
        <f>Bracket!E$2*('Brackets - prob'!B6-H7)</f>
        <v/>
      </c>
      <c r="U7" s="191">
        <f>Bracket!F$2*('Brackets - prob'!C6-I7)</f>
        <v/>
      </c>
      <c r="V7" s="191">
        <f>Bracket!G$2*('Brackets - prob'!D6-J7)</f>
        <v/>
      </c>
      <c r="W7" s="191">
        <f>Bracket!H$2*('Brackets - prob'!E6-K7)</f>
        <v/>
      </c>
      <c r="X7" s="191">
        <f>Bracket!I$2*('Brackets - prob'!F6-L7)</f>
        <v/>
      </c>
      <c r="Y7" s="191">
        <f>Bracket!J$2*('Brackets - prob'!G6-M7)</f>
        <v/>
      </c>
      <c r="Z7" s="192">
        <f>SUM(T7:$T7)</f>
        <v/>
      </c>
      <c r="AA7" s="192">
        <f>SUM($T7:U7)</f>
        <v/>
      </c>
      <c r="AB7" s="192">
        <f>SUM($T7:V7)</f>
        <v/>
      </c>
      <c r="AC7" s="192">
        <f>SUM($T7:W7)</f>
        <v/>
      </c>
      <c r="AD7" s="192">
        <f>SUM($T7:X7)</f>
        <v/>
      </c>
      <c r="AE7" s="192">
        <f>SUM($T7:Y7)</f>
        <v/>
      </c>
      <c r="AF7" s="193">
        <f>'Brackets - prob'!B6*(1-'Brackets - prob'!B6-2*'Brackets - freq'!B6+2*B7)+B7-B7^2</f>
        <v/>
      </c>
      <c r="AG7" s="193">
        <f>'Brackets - prob'!C6*(1-'Brackets - prob'!C6-2*'Brackets - freq'!C6+2*C7)+C7-C7^2</f>
        <v/>
      </c>
      <c r="AH7" s="193">
        <f>'Brackets - prob'!D6*(1-'Brackets - prob'!D6-2*'Brackets - freq'!D6+2*D7)+D7-D7^2</f>
        <v/>
      </c>
      <c r="AI7" s="193">
        <f>'Brackets - prob'!E6*(1-'Brackets - prob'!E6-2*'Brackets - freq'!E6+2*E7)+E7-E7^2</f>
        <v/>
      </c>
      <c r="AJ7" s="193">
        <f>'Brackets - prob'!F6*(1-'Brackets - prob'!F6-2*'Brackets - freq'!F6+2*F7)+F7-F7^2</f>
        <v/>
      </c>
      <c r="AK7" s="193">
        <f>'Brackets - prob'!G6*(1-'Brackets - prob'!G6-2*'Brackets - freq'!G6+2*G7)+G7-G7^2</f>
        <v/>
      </c>
      <c r="AL7" s="194">
        <f>Bracket!E$2^2*(('Brackets - prob'!B6-H7)*(1+2*B7)-'Brackets - prob'!B6^2+H7^2-2*('Brackets - prob'!B6*'Brackets - freq'!B6-N7))</f>
        <v/>
      </c>
      <c r="AM7" s="194">
        <f>Bracket!F$2^2*(('Brackets - prob'!C6-I7)*(1+2*C7)-'Brackets - prob'!C6^2+I7^2-2*('Brackets - prob'!C6*'Brackets - freq'!C6-O7))</f>
        <v/>
      </c>
      <c r="AN7" s="194">
        <f>Bracket!G$2^2*(('Brackets - prob'!D6-J7)*(1+2*D7)-'Brackets - prob'!D6^2+J7^2-2*('Brackets - prob'!D6*'Brackets - freq'!D6-P7))</f>
        <v/>
      </c>
      <c r="AO7" s="194">
        <f>Bracket!H$2^2*(('Brackets - prob'!E6-K7)*(1+2*E7)-'Brackets - prob'!E6^2+K7^2-2*('Brackets - prob'!E6*'Brackets - freq'!E6-Q7))</f>
        <v/>
      </c>
      <c r="AP7" s="194">
        <f>Bracket!I$2^2*(('Brackets - prob'!F6-L7)*(1+2*F7)-'Brackets - prob'!F6^2+L7^2-2*('Brackets - prob'!F6*'Brackets - freq'!F6-R7))</f>
        <v/>
      </c>
      <c r="AQ7" s="194">
        <f>Bracket!J$2^2*(('Brackets - prob'!G6-M7)*(1+2*G7)-'Brackets - prob'!G6^2+M7^2-2*('Brackets - prob'!G6*'Brackets - freq'!G6-S7))</f>
        <v/>
      </c>
      <c r="AR7" s="192">
        <f>SUM($AL7:AL7)</f>
        <v/>
      </c>
      <c r="AS7" s="192">
        <f>SUM($AL7:AM7)</f>
        <v/>
      </c>
      <c r="AT7" s="192">
        <f>SUM($AL7:AN7)</f>
        <v/>
      </c>
      <c r="AU7" s="192">
        <f>SUM($AL7:AO7)</f>
        <v/>
      </c>
      <c r="AV7" s="192">
        <f>SUM($AL7:AP7)</f>
        <v/>
      </c>
      <c r="AW7" s="192">
        <f>SUM($AL7:AQ7)</f>
        <v/>
      </c>
      <c r="AX7" s="195">
        <f>IF(Z7=0,0,AR7/Z7)</f>
        <v/>
      </c>
      <c r="AY7" s="195">
        <f>IF(AA7=0,0,AS7/AA7)</f>
        <v/>
      </c>
      <c r="AZ7" s="195">
        <f>IF(AB7=0,0,AT7/AB7)</f>
        <v/>
      </c>
      <c r="BA7" s="195">
        <f>IF(AC7=0,0,AU7/AC7)</f>
        <v/>
      </c>
      <c r="BB7" s="195">
        <f>IF(AD7=0,0,AV7/AD7)</f>
        <v/>
      </c>
      <c r="BC7" s="195">
        <f>IF(AE7=0,0,AW7/AE7)</f>
        <v/>
      </c>
      <c r="BD7" s="196">
        <f>IF(OR(AX7=0,AX7&lt;=-1),1,0)</f>
        <v/>
      </c>
      <c r="BE7" s="196">
        <f>IF(OR(AY7=0,AY7&lt;=-1),1,0)</f>
        <v/>
      </c>
      <c r="BF7" s="196">
        <f>IF(OR(AZ7=0,AZ7&lt;=-1),1,0)</f>
        <v/>
      </c>
      <c r="BG7" s="196">
        <f>IF(OR(BA7=0,BA7&lt;=-1),1,0)</f>
        <v/>
      </c>
      <c r="BH7" s="196">
        <f>IF(OR(BB7=0,BB7&lt;=-1),1,0)</f>
        <v/>
      </c>
      <c r="BI7" s="196">
        <f>IF(OR(BC7=0,BC7&lt;=-1),1,0)</f>
        <v/>
      </c>
      <c r="BJ7" s="197">
        <f>IF(AND('Brackets - prob'!B6&gt;H7-0.5,'Brackets - freq'!B6/'Brackets - prob'!B6&lt;N7/H7^2),1,0)</f>
        <v/>
      </c>
      <c r="BK7" s="197">
        <f>IF(AND('Brackets - prob'!C6&gt;I7-0.5,'Brackets - freq'!C6/'Brackets - prob'!C6&lt;O7/I7^2),1,0)</f>
        <v/>
      </c>
      <c r="BL7" s="197">
        <f>IF(AND('Brackets - prob'!D6&gt;J7-0.5,'Brackets - freq'!D6/'Brackets - prob'!D6&lt;P7/J7^2),1,0)</f>
        <v/>
      </c>
      <c r="BM7" s="197">
        <f>IF(AND('Brackets - prob'!E6&gt;K7-0.5,'Brackets - freq'!E6/'Brackets - prob'!E6&lt;Q7/K7^2),1,0)</f>
        <v/>
      </c>
      <c r="BN7" s="197">
        <f>IF(AND('Brackets - prob'!F6&gt;L7-0.5,'Brackets - freq'!F6/'Brackets - prob'!F6&lt;R7/L7^2),1,0)</f>
        <v/>
      </c>
      <c r="BO7" s="197">
        <f>IF(AND('Brackets - prob'!G6&gt;M7-0.5,'Brackets - freq'!G6/'Brackets - prob'!G6&lt;S7/M7^2),1,0)</f>
        <v/>
      </c>
    </row>
    <row r="8">
      <c r="A8" s="41" t="inlineStr">
        <is>
          <t>Liberty</t>
        </is>
      </c>
      <c r="B8" s="51">
        <f>B7</f>
        <v/>
      </c>
      <c r="C8" s="51">
        <f>C7</f>
        <v/>
      </c>
      <c r="D8" s="51">
        <f>D7</f>
        <v/>
      </c>
      <c r="E8" s="51">
        <f>E7</f>
        <v/>
      </c>
      <c r="F8" s="51">
        <f>F7</f>
        <v/>
      </c>
      <c r="G8" s="51">
        <f>G7</f>
        <v/>
      </c>
      <c r="H8" s="52">
        <f>H7</f>
        <v/>
      </c>
      <c r="I8" s="52">
        <f>I7</f>
        <v/>
      </c>
      <c r="J8" s="52">
        <f>J7</f>
        <v/>
      </c>
      <c r="K8" s="52">
        <f>K7</f>
        <v/>
      </c>
      <c r="L8" s="52">
        <f>L7</f>
        <v/>
      </c>
      <c r="M8" s="52">
        <f>M7</f>
        <v/>
      </c>
      <c r="N8" s="53">
        <f>N7</f>
        <v/>
      </c>
      <c r="O8" s="53">
        <f>O7</f>
        <v/>
      </c>
      <c r="P8" s="53">
        <f>P7</f>
        <v/>
      </c>
      <c r="Q8" s="53">
        <f>Q7</f>
        <v/>
      </c>
      <c r="R8" s="53">
        <f>R7</f>
        <v/>
      </c>
      <c r="S8" s="53">
        <f>S7</f>
        <v/>
      </c>
      <c r="T8" s="191">
        <f>Bracket!E$2*('Brackets - prob'!B7-H8)</f>
        <v/>
      </c>
      <c r="U8" s="191">
        <f>Bracket!F$2*('Brackets - prob'!C7-I8)</f>
        <v/>
      </c>
      <c r="V8" s="191">
        <f>Bracket!G$2*('Brackets - prob'!D7-J8)</f>
        <v/>
      </c>
      <c r="W8" s="191">
        <f>Bracket!H$2*('Brackets - prob'!E7-K8)</f>
        <v/>
      </c>
      <c r="X8" s="191">
        <f>Bracket!I$2*('Brackets - prob'!F7-L8)</f>
        <v/>
      </c>
      <c r="Y8" s="191">
        <f>Bracket!J$2*('Brackets - prob'!G7-M8)</f>
        <v/>
      </c>
      <c r="Z8" s="192">
        <f>SUM(T8:$T8)</f>
        <v/>
      </c>
      <c r="AA8" s="192">
        <f>SUM($T8:U8)</f>
        <v/>
      </c>
      <c r="AB8" s="192">
        <f>SUM($T8:V8)</f>
        <v/>
      </c>
      <c r="AC8" s="192">
        <f>SUM($T8:W8)</f>
        <v/>
      </c>
      <c r="AD8" s="192">
        <f>SUM($T8:X8)</f>
        <v/>
      </c>
      <c r="AE8" s="192">
        <f>SUM($T8:Y8)</f>
        <v/>
      </c>
      <c r="AF8" s="193">
        <f>'Brackets - prob'!B7*(1-'Brackets - prob'!B7-2*'Brackets - freq'!B7+2*B8)+B8-B8^2</f>
        <v/>
      </c>
      <c r="AG8" s="193">
        <f>'Brackets - prob'!C7*(1-'Brackets - prob'!C7-2*'Brackets - freq'!C7+2*C8)+C8-C8^2</f>
        <v/>
      </c>
      <c r="AH8" s="193">
        <f>'Brackets - prob'!D7*(1-'Brackets - prob'!D7-2*'Brackets - freq'!D7+2*D8)+D8-D8^2</f>
        <v/>
      </c>
      <c r="AI8" s="193">
        <f>'Brackets - prob'!E7*(1-'Brackets - prob'!E7-2*'Brackets - freq'!E7+2*E8)+E8-E8^2</f>
        <v/>
      </c>
      <c r="AJ8" s="193">
        <f>'Brackets - prob'!F7*(1-'Brackets - prob'!F7-2*'Brackets - freq'!F7+2*F8)+F8-F8^2</f>
        <v/>
      </c>
      <c r="AK8" s="193">
        <f>'Brackets - prob'!G7*(1-'Brackets - prob'!G7-2*'Brackets - freq'!G7+2*G8)+G8-G8^2</f>
        <v/>
      </c>
      <c r="AL8" s="194">
        <f>Bracket!E$2^2*(('Brackets - prob'!B7-H8)*(1+2*B8)-'Brackets - prob'!B7^2+H8^2-2*('Brackets - prob'!B7*'Brackets - freq'!B7-N8))</f>
        <v/>
      </c>
      <c r="AM8" s="194">
        <f>Bracket!F$2^2*(('Brackets - prob'!C7-I8)*(1+2*C8)-'Brackets - prob'!C7^2+I8^2-2*('Brackets - prob'!C7*'Brackets - freq'!C7-O8))</f>
        <v/>
      </c>
      <c r="AN8" s="194">
        <f>Bracket!G$2^2*(('Brackets - prob'!D7-J8)*(1+2*D8)-'Brackets - prob'!D7^2+J8^2-2*('Brackets - prob'!D7*'Brackets - freq'!D7-P8))</f>
        <v/>
      </c>
      <c r="AO8" s="194">
        <f>Bracket!H$2^2*(('Brackets - prob'!E7-K8)*(1+2*E8)-'Brackets - prob'!E7^2+K8^2-2*('Brackets - prob'!E7*'Brackets - freq'!E7-Q8))</f>
        <v/>
      </c>
      <c r="AP8" s="194">
        <f>Bracket!I$2^2*(('Brackets - prob'!F7-L8)*(1+2*F8)-'Brackets - prob'!F7^2+L8^2-2*('Brackets - prob'!F7*'Brackets - freq'!F7-R8))</f>
        <v/>
      </c>
      <c r="AQ8" s="194">
        <f>Bracket!J$2^2*(('Brackets - prob'!G7-M8)*(1+2*G8)-'Brackets - prob'!G7^2+M8^2-2*('Brackets - prob'!G7*'Brackets - freq'!G7-S8))</f>
        <v/>
      </c>
      <c r="AR8" s="192">
        <f>SUM($AL8:AL8)</f>
        <v/>
      </c>
      <c r="AS8" s="192">
        <f>SUM($AL8:AM8)</f>
        <v/>
      </c>
      <c r="AT8" s="192">
        <f>SUM($AL8:AN8)</f>
        <v/>
      </c>
      <c r="AU8" s="192">
        <f>SUM($AL8:AO8)</f>
        <v/>
      </c>
      <c r="AV8" s="192">
        <f>SUM($AL8:AP8)</f>
        <v/>
      </c>
      <c r="AW8" s="192">
        <f>SUM($AL8:AQ8)</f>
        <v/>
      </c>
      <c r="AX8" s="195">
        <f>IF(Z8=0,0,AR8/Z8)</f>
        <v/>
      </c>
      <c r="AY8" s="195">
        <f>IF(AA8=0,0,AS8/AA8)</f>
        <v/>
      </c>
      <c r="AZ8" s="195">
        <f>IF(AB8=0,0,AT8/AB8)</f>
        <v/>
      </c>
      <c r="BA8" s="195">
        <f>IF(AC8=0,0,AU8/AC8)</f>
        <v/>
      </c>
      <c r="BB8" s="195">
        <f>IF(AD8=0,0,AV8/AD8)</f>
        <v/>
      </c>
      <c r="BC8" s="195">
        <f>IF(AE8=0,0,AW8/AE8)</f>
        <v/>
      </c>
      <c r="BD8" s="196">
        <f>IF(OR(AX8=0,AX8&lt;=-1),1,0)</f>
        <v/>
      </c>
      <c r="BE8" s="196">
        <f>IF(OR(AY8=0,AY8&lt;=-1),1,0)</f>
        <v/>
      </c>
      <c r="BF8" s="196">
        <f>IF(OR(AZ8=0,AZ8&lt;=-1),1,0)</f>
        <v/>
      </c>
      <c r="BG8" s="196">
        <f>IF(OR(BA8=0,BA8&lt;=-1),1,0)</f>
        <v/>
      </c>
      <c r="BH8" s="196">
        <f>IF(OR(BB8=0,BB8&lt;=-1),1,0)</f>
        <v/>
      </c>
      <c r="BI8" s="196">
        <f>IF(OR(BC8=0,BC8&lt;=-1),1,0)</f>
        <v/>
      </c>
      <c r="BJ8" s="197">
        <f>IF(AND('Brackets - prob'!B7&gt;H8-0.5,'Brackets - freq'!B7/'Brackets - prob'!B7&lt;N8/H8^2),1,0)</f>
        <v/>
      </c>
      <c r="BK8" s="197">
        <f>IF(AND('Brackets - prob'!C7&gt;I8-0.5,'Brackets - freq'!C7/'Brackets - prob'!C7&lt;O8/I8^2),1,0)</f>
        <v/>
      </c>
      <c r="BL8" s="197">
        <f>IF(AND('Brackets - prob'!D7&gt;J8-0.5,'Brackets - freq'!D7/'Brackets - prob'!D7&lt;P8/J8^2),1,0)</f>
        <v/>
      </c>
      <c r="BM8" s="197">
        <f>IF(AND('Brackets - prob'!E7&gt;K8-0.5,'Brackets - freq'!E7/'Brackets - prob'!E7&lt;Q8/K8^2),1,0)</f>
        <v/>
      </c>
      <c r="BN8" s="197">
        <f>IF(AND('Brackets - prob'!F7&gt;L8-0.5,'Brackets - freq'!F7/'Brackets - prob'!F7&lt;R8/L8^2),1,0)</f>
        <v/>
      </c>
      <c r="BO8" s="197">
        <f>IF(AND('Brackets - prob'!G7&gt;M8-0.5,'Brackets - freq'!G7/'Brackets - prob'!G7&lt;S8/M8^2),1,0)</f>
        <v/>
      </c>
    </row>
    <row r="9">
      <c r="A9" s="41" t="inlineStr">
        <is>
          <t>Virginia Tech</t>
        </is>
      </c>
      <c r="B9" s="51">
        <f>SUMPRODUCT('Brackets - prob'!B8:B9,'Brackets - freq'!B8:B9)</f>
        <v/>
      </c>
      <c r="C9" s="51">
        <f>C8</f>
        <v/>
      </c>
      <c r="D9" s="51">
        <f>D8</f>
        <v/>
      </c>
      <c r="E9" s="51">
        <f>E8</f>
        <v/>
      </c>
      <c r="F9" s="51">
        <f>F8</f>
        <v/>
      </c>
      <c r="G9" s="51">
        <f>G8</f>
        <v/>
      </c>
      <c r="H9" s="52">
        <f>MAX('Brackets - prob'!B8:B9)</f>
        <v/>
      </c>
      <c r="I9" s="52">
        <f>I8</f>
        <v/>
      </c>
      <c r="J9" s="52">
        <f>J8</f>
        <v/>
      </c>
      <c r="K9" s="52">
        <f>K8</f>
        <v/>
      </c>
      <c r="L9" s="52">
        <f>L8</f>
        <v/>
      </c>
      <c r="M9" s="52">
        <f>M8</f>
        <v/>
      </c>
      <c r="N9" s="53">
        <f>AVERAGEIF('Brackets - prob'!B8:B9,"="&amp;H9,'Brackets - freq'!B8:B9)*H9</f>
        <v/>
      </c>
      <c r="O9" s="53">
        <f>O8</f>
        <v/>
      </c>
      <c r="P9" s="53">
        <f>P8</f>
        <v/>
      </c>
      <c r="Q9" s="53">
        <f>Q8</f>
        <v/>
      </c>
      <c r="R9" s="53">
        <f>R8</f>
        <v/>
      </c>
      <c r="S9" s="53">
        <f>S8</f>
        <v/>
      </c>
      <c r="T9" s="191">
        <f>Bracket!E$2*('Brackets - prob'!B8-H9)</f>
        <v/>
      </c>
      <c r="U9" s="191">
        <f>Bracket!F$2*('Brackets - prob'!C8-I9)</f>
        <v/>
      </c>
      <c r="V9" s="191">
        <f>Bracket!G$2*('Brackets - prob'!D8-J9)</f>
        <v/>
      </c>
      <c r="W9" s="191">
        <f>Bracket!H$2*('Brackets - prob'!E8-K9)</f>
        <v/>
      </c>
      <c r="X9" s="191">
        <f>Bracket!I$2*('Brackets - prob'!F8-L9)</f>
        <v/>
      </c>
      <c r="Y9" s="191">
        <f>Bracket!J$2*('Brackets - prob'!G8-M9)</f>
        <v/>
      </c>
      <c r="Z9" s="192">
        <f>SUM(T9:$T9)</f>
        <v/>
      </c>
      <c r="AA9" s="192">
        <f>SUM($T9:U9)</f>
        <v/>
      </c>
      <c r="AB9" s="192">
        <f>SUM($T9:V9)</f>
        <v/>
      </c>
      <c r="AC9" s="192">
        <f>SUM($T9:W9)</f>
        <v/>
      </c>
      <c r="AD9" s="192">
        <f>SUM($T9:X9)</f>
        <v/>
      </c>
      <c r="AE9" s="192">
        <f>SUM($T9:Y9)</f>
        <v/>
      </c>
      <c r="AF9" s="193">
        <f>'Brackets - prob'!B8*(1-'Brackets - prob'!B8-2*'Brackets - freq'!B8+2*B9)+B9-B9^2</f>
        <v/>
      </c>
      <c r="AG9" s="193">
        <f>'Brackets - prob'!C8*(1-'Brackets - prob'!C8-2*'Brackets - freq'!C8+2*C9)+C9-C9^2</f>
        <v/>
      </c>
      <c r="AH9" s="193">
        <f>'Brackets - prob'!D8*(1-'Brackets - prob'!D8-2*'Brackets - freq'!D8+2*D9)+D9-D9^2</f>
        <v/>
      </c>
      <c r="AI9" s="193">
        <f>'Brackets - prob'!E8*(1-'Brackets - prob'!E8-2*'Brackets - freq'!E8+2*E9)+E9-E9^2</f>
        <v/>
      </c>
      <c r="AJ9" s="193">
        <f>'Brackets - prob'!F8*(1-'Brackets - prob'!F8-2*'Brackets - freq'!F8+2*F9)+F9-F9^2</f>
        <v/>
      </c>
      <c r="AK9" s="193">
        <f>'Brackets - prob'!G8*(1-'Brackets - prob'!G8-2*'Brackets - freq'!G8+2*G9)+G9-G9^2</f>
        <v/>
      </c>
      <c r="AL9" s="194">
        <f>Bracket!E$2^2*(('Brackets - prob'!B8-H9)*(1+2*B9)-'Brackets - prob'!B8^2+H9^2-2*('Brackets - prob'!B8*'Brackets - freq'!B8-N9))</f>
        <v/>
      </c>
      <c r="AM9" s="194">
        <f>Bracket!F$2^2*(('Brackets - prob'!C8-I9)*(1+2*C9)-'Brackets - prob'!C8^2+I9^2-2*('Brackets - prob'!C8*'Brackets - freq'!C8-O9))</f>
        <v/>
      </c>
      <c r="AN9" s="194">
        <f>Bracket!G$2^2*(('Brackets - prob'!D8-J9)*(1+2*D9)-'Brackets - prob'!D8^2+J9^2-2*('Brackets - prob'!D8*'Brackets - freq'!D8-P9))</f>
        <v/>
      </c>
      <c r="AO9" s="194">
        <f>Bracket!H$2^2*(('Brackets - prob'!E8-K9)*(1+2*E9)-'Brackets - prob'!E8^2+K9^2-2*('Brackets - prob'!E8*'Brackets - freq'!E8-Q9))</f>
        <v/>
      </c>
      <c r="AP9" s="194">
        <f>Bracket!I$2^2*(('Brackets - prob'!F8-L9)*(1+2*F9)-'Brackets - prob'!F8^2+L9^2-2*('Brackets - prob'!F8*'Brackets - freq'!F8-R9))</f>
        <v/>
      </c>
      <c r="AQ9" s="194">
        <f>Bracket!J$2^2*(('Brackets - prob'!G8-M9)*(1+2*G9)-'Brackets - prob'!G8^2+M9^2-2*('Brackets - prob'!G8*'Brackets - freq'!G8-S9))</f>
        <v/>
      </c>
      <c r="AR9" s="192">
        <f>SUM($AL9:AL9)</f>
        <v/>
      </c>
      <c r="AS9" s="192">
        <f>SUM($AL9:AM9)</f>
        <v/>
      </c>
      <c r="AT9" s="192">
        <f>SUM($AL9:AN9)</f>
        <v/>
      </c>
      <c r="AU9" s="192">
        <f>SUM($AL9:AO9)</f>
        <v/>
      </c>
      <c r="AV9" s="192">
        <f>SUM($AL9:AP9)</f>
        <v/>
      </c>
      <c r="AW9" s="192">
        <f>SUM($AL9:AQ9)</f>
        <v/>
      </c>
      <c r="AX9" s="195">
        <f>IF(Z9=0,0,AR9/Z9)</f>
        <v/>
      </c>
      <c r="AY9" s="195">
        <f>IF(AA9=0,0,AS9/AA9)</f>
        <v/>
      </c>
      <c r="AZ9" s="195">
        <f>IF(AB9=0,0,AT9/AB9)</f>
        <v/>
      </c>
      <c r="BA9" s="195">
        <f>IF(AC9=0,0,AU9/AC9)</f>
        <v/>
      </c>
      <c r="BB9" s="195">
        <f>IF(AD9=0,0,AV9/AD9)</f>
        <v/>
      </c>
      <c r="BC9" s="195">
        <f>IF(AE9=0,0,AW9/AE9)</f>
        <v/>
      </c>
      <c r="BD9" s="196">
        <f>IF(OR(AX9=0,AX9&lt;=-1),1,0)</f>
        <v/>
      </c>
      <c r="BE9" s="196">
        <f>IF(OR(AY9=0,AY9&lt;=-1),1,0)</f>
        <v/>
      </c>
      <c r="BF9" s="196">
        <f>IF(OR(AZ9=0,AZ9&lt;=-1),1,0)</f>
        <v/>
      </c>
      <c r="BG9" s="196">
        <f>IF(OR(BA9=0,BA9&lt;=-1),1,0)</f>
        <v/>
      </c>
      <c r="BH9" s="196">
        <f>IF(OR(BB9=0,BB9&lt;=-1),1,0)</f>
        <v/>
      </c>
      <c r="BI9" s="196">
        <f>IF(OR(BC9=0,BC9&lt;=-1),1,0)</f>
        <v/>
      </c>
      <c r="BJ9" s="197">
        <f>IF(AND('Brackets - prob'!B8&gt;H9-0.5,'Brackets - freq'!B8/'Brackets - prob'!B8&lt;N9/H9^2),1,0)</f>
        <v/>
      </c>
      <c r="BK9" s="197">
        <f>IF(AND('Brackets - prob'!C8&gt;I9-0.5,'Brackets - freq'!C8/'Brackets - prob'!C8&lt;O9/I9^2),1,0)</f>
        <v/>
      </c>
      <c r="BL9" s="197">
        <f>IF(AND('Brackets - prob'!D8&gt;J9-0.5,'Brackets - freq'!D8/'Brackets - prob'!D8&lt;P9/J9^2),1,0)</f>
        <v/>
      </c>
      <c r="BM9" s="197">
        <f>IF(AND('Brackets - prob'!E8&gt;K9-0.5,'Brackets - freq'!E8/'Brackets - prob'!E8&lt;Q9/K9^2),1,0)</f>
        <v/>
      </c>
      <c r="BN9" s="197">
        <f>IF(AND('Brackets - prob'!F8&gt;L9-0.5,'Brackets - freq'!F8/'Brackets - prob'!F8&lt;R9/L9^2),1,0)</f>
        <v/>
      </c>
      <c r="BO9" s="197">
        <f>IF(AND('Brackets - prob'!G8&gt;M9-0.5,'Brackets - freq'!G8/'Brackets - prob'!G8&lt;S9/M9^2),1,0)</f>
        <v/>
      </c>
    </row>
    <row r="10">
      <c r="A10" s="41" t="inlineStr">
        <is>
          <t>Saint Louis</t>
        </is>
      </c>
      <c r="B10" s="51">
        <f>B9</f>
        <v/>
      </c>
      <c r="C10" s="51">
        <f>C9</f>
        <v/>
      </c>
      <c r="D10" s="51">
        <f>D9</f>
        <v/>
      </c>
      <c r="E10" s="51">
        <f>E9</f>
        <v/>
      </c>
      <c r="F10" s="51">
        <f>F9</f>
        <v/>
      </c>
      <c r="G10" s="51">
        <f>G9</f>
        <v/>
      </c>
      <c r="H10" s="52">
        <f>H9</f>
        <v/>
      </c>
      <c r="I10" s="52">
        <f>I9</f>
        <v/>
      </c>
      <c r="J10" s="52">
        <f>J9</f>
        <v/>
      </c>
      <c r="K10" s="52">
        <f>K9</f>
        <v/>
      </c>
      <c r="L10" s="52">
        <f>L9</f>
        <v/>
      </c>
      <c r="M10" s="52">
        <f>M9</f>
        <v/>
      </c>
      <c r="N10" s="53">
        <f>N9</f>
        <v/>
      </c>
      <c r="O10" s="53">
        <f>O9</f>
        <v/>
      </c>
      <c r="P10" s="53">
        <f>P9</f>
        <v/>
      </c>
      <c r="Q10" s="53">
        <f>Q9</f>
        <v/>
      </c>
      <c r="R10" s="53">
        <f>R9</f>
        <v/>
      </c>
      <c r="S10" s="53">
        <f>S9</f>
        <v/>
      </c>
      <c r="T10" s="191">
        <f>Bracket!E$2*('Brackets - prob'!B9-H10)</f>
        <v/>
      </c>
      <c r="U10" s="191">
        <f>Bracket!F$2*('Brackets - prob'!C9-I10)</f>
        <v/>
      </c>
      <c r="V10" s="191">
        <f>Bracket!G$2*('Brackets - prob'!D9-J10)</f>
        <v/>
      </c>
      <c r="W10" s="191">
        <f>Bracket!H$2*('Brackets - prob'!E9-K10)</f>
        <v/>
      </c>
      <c r="X10" s="191">
        <f>Bracket!I$2*('Brackets - prob'!F9-L10)</f>
        <v/>
      </c>
      <c r="Y10" s="191">
        <f>Bracket!J$2*('Brackets - prob'!G9-M10)</f>
        <v/>
      </c>
      <c r="Z10" s="192">
        <f>SUM(T10:$T10)</f>
        <v/>
      </c>
      <c r="AA10" s="192">
        <f>SUM($T10:U10)</f>
        <v/>
      </c>
      <c r="AB10" s="192">
        <f>SUM($T10:V10)</f>
        <v/>
      </c>
      <c r="AC10" s="192">
        <f>SUM($T10:W10)</f>
        <v/>
      </c>
      <c r="AD10" s="192">
        <f>SUM($T10:X10)</f>
        <v/>
      </c>
      <c r="AE10" s="192">
        <f>SUM($T10:Y10)</f>
        <v/>
      </c>
      <c r="AF10" s="193">
        <f>'Brackets - prob'!B9*(1-'Brackets - prob'!B9-2*'Brackets - freq'!B9+2*B10)+B10-B10^2</f>
        <v/>
      </c>
      <c r="AG10" s="193">
        <f>'Brackets - prob'!C9*(1-'Brackets - prob'!C9-2*'Brackets - freq'!C9+2*C10)+C10-C10^2</f>
        <v/>
      </c>
      <c r="AH10" s="193">
        <f>'Brackets - prob'!D9*(1-'Brackets - prob'!D9-2*'Brackets - freq'!D9+2*D10)+D10-D10^2</f>
        <v/>
      </c>
      <c r="AI10" s="193">
        <f>'Brackets - prob'!E9*(1-'Brackets - prob'!E9-2*'Brackets - freq'!E9+2*E10)+E10-E10^2</f>
        <v/>
      </c>
      <c r="AJ10" s="193">
        <f>'Brackets - prob'!F9*(1-'Brackets - prob'!F9-2*'Brackets - freq'!F9+2*F10)+F10-F10^2</f>
        <v/>
      </c>
      <c r="AK10" s="193">
        <f>'Brackets - prob'!G9*(1-'Brackets - prob'!G9-2*'Brackets - freq'!G9+2*G10)+G10-G10^2</f>
        <v/>
      </c>
      <c r="AL10" s="194">
        <f>Bracket!E$2^2*(('Brackets - prob'!B9-H10)*(1+2*B10)-'Brackets - prob'!B9^2+H10^2-2*('Brackets - prob'!B9*'Brackets - freq'!B9-N10))</f>
        <v/>
      </c>
      <c r="AM10" s="194">
        <f>Bracket!F$2^2*(('Brackets - prob'!C9-I10)*(1+2*C10)-'Brackets - prob'!C9^2+I10^2-2*('Brackets - prob'!C9*'Brackets - freq'!C9-O10))</f>
        <v/>
      </c>
      <c r="AN10" s="194">
        <f>Bracket!G$2^2*(('Brackets - prob'!D9-J10)*(1+2*D10)-'Brackets - prob'!D9^2+J10^2-2*('Brackets - prob'!D9*'Brackets - freq'!D9-P10))</f>
        <v/>
      </c>
      <c r="AO10" s="194">
        <f>Bracket!H$2^2*(('Brackets - prob'!E9-K10)*(1+2*E10)-'Brackets - prob'!E9^2+K10^2-2*('Brackets - prob'!E9*'Brackets - freq'!E9-Q10))</f>
        <v/>
      </c>
      <c r="AP10" s="194">
        <f>Bracket!I$2^2*(('Brackets - prob'!F9-L10)*(1+2*F10)-'Brackets - prob'!F9^2+L10^2-2*('Brackets - prob'!F9*'Brackets - freq'!F9-R10))</f>
        <v/>
      </c>
      <c r="AQ10" s="194">
        <f>Bracket!J$2^2*(('Brackets - prob'!G9-M10)*(1+2*G10)-'Brackets - prob'!G9^2+M10^2-2*('Brackets - prob'!G9*'Brackets - freq'!G9-S10))</f>
        <v/>
      </c>
      <c r="AR10" s="192">
        <f>SUM($AL10:AL10)</f>
        <v/>
      </c>
      <c r="AS10" s="192">
        <f>SUM($AL10:AM10)</f>
        <v/>
      </c>
      <c r="AT10" s="192">
        <f>SUM($AL10:AN10)</f>
        <v/>
      </c>
      <c r="AU10" s="192">
        <f>SUM($AL10:AO10)</f>
        <v/>
      </c>
      <c r="AV10" s="192">
        <f>SUM($AL10:AP10)</f>
        <v/>
      </c>
      <c r="AW10" s="192">
        <f>SUM($AL10:AQ10)</f>
        <v/>
      </c>
      <c r="AX10" s="195">
        <f>IF(Z10=0,0,AR10/Z10)</f>
        <v/>
      </c>
      <c r="AY10" s="195">
        <f>IF(AA10=0,0,AS10/AA10)</f>
        <v/>
      </c>
      <c r="AZ10" s="195">
        <f>IF(AB10=0,0,AT10/AB10)</f>
        <v/>
      </c>
      <c r="BA10" s="195">
        <f>IF(AC10=0,0,AU10/AC10)</f>
        <v/>
      </c>
      <c r="BB10" s="195">
        <f>IF(AD10=0,0,AV10/AD10)</f>
        <v/>
      </c>
      <c r="BC10" s="195">
        <f>IF(AE10=0,0,AW10/AE10)</f>
        <v/>
      </c>
      <c r="BD10" s="196">
        <f>IF(OR(AX10=0,AX10&lt;=-1),1,0)</f>
        <v/>
      </c>
      <c r="BE10" s="196">
        <f>IF(OR(AY10=0,AY10&lt;=-1),1,0)</f>
        <v/>
      </c>
      <c r="BF10" s="196">
        <f>IF(OR(AZ10=0,AZ10&lt;=-1),1,0)</f>
        <v/>
      </c>
      <c r="BG10" s="196">
        <f>IF(OR(BA10=0,BA10&lt;=-1),1,0)</f>
        <v/>
      </c>
      <c r="BH10" s="196">
        <f>IF(OR(BB10=0,BB10&lt;=-1),1,0)</f>
        <v/>
      </c>
      <c r="BI10" s="196">
        <f>IF(OR(BC10=0,BC10&lt;=-1),1,0)</f>
        <v/>
      </c>
      <c r="BJ10" s="197">
        <f>IF(AND('Brackets - prob'!B9&gt;H10-0.5,'Brackets - freq'!B9/'Brackets - prob'!B9&lt;N10/H10^2),1,0)</f>
        <v/>
      </c>
      <c r="BK10" s="197">
        <f>IF(AND('Brackets - prob'!C9&gt;I10-0.5,'Brackets - freq'!C9/'Brackets - prob'!C9&lt;O10/I10^2),1,0)</f>
        <v/>
      </c>
      <c r="BL10" s="197">
        <f>IF(AND('Brackets - prob'!D9&gt;J10-0.5,'Brackets - freq'!D9/'Brackets - prob'!D9&lt;P10/J10^2),1,0)</f>
        <v/>
      </c>
      <c r="BM10" s="197">
        <f>IF(AND('Brackets - prob'!E9&gt;K10-0.5,'Brackets - freq'!E9/'Brackets - prob'!E9&lt;Q10/K10^2),1,0)</f>
        <v/>
      </c>
      <c r="BN10" s="197">
        <f>IF(AND('Brackets - prob'!F9&gt;L10-0.5,'Brackets - freq'!F9/'Brackets - prob'!F9&lt;R10/L10^2),1,0)</f>
        <v/>
      </c>
      <c r="BO10" s="197">
        <f>IF(AND('Brackets - prob'!G9&gt;M10-0.5,'Brackets - freq'!G9/'Brackets - prob'!G9&lt;S10/M10^2),1,0)</f>
        <v/>
      </c>
    </row>
    <row r="11">
      <c r="A11" s="41" t="inlineStr">
        <is>
          <t>Maryland</t>
        </is>
      </c>
      <c r="B11" s="51">
        <f>SUMPRODUCT('Brackets - prob'!B10:B11,'Brackets - freq'!B10:B11)</f>
        <v/>
      </c>
      <c r="C11" s="51">
        <f>SUMPRODUCT('Brackets - prob'!C10:C13,'Brackets - freq'!C10:C13)</f>
        <v/>
      </c>
      <c r="D11" s="51">
        <f>SUMPRODUCT('Brackets - prob'!D10:D17,'Brackets - freq'!D10:D17)</f>
        <v/>
      </c>
      <c r="E11" s="51">
        <f>E10</f>
        <v/>
      </c>
      <c r="F11" s="51">
        <f>F10</f>
        <v/>
      </c>
      <c r="G11" s="51">
        <f>G10</f>
        <v/>
      </c>
      <c r="H11" s="52">
        <f>MAX('Brackets - prob'!B10:B11)</f>
        <v/>
      </c>
      <c r="I11" s="52">
        <f>MAX('Brackets - prob'!C10:C13)</f>
        <v/>
      </c>
      <c r="J11" s="52">
        <f>MAX('Brackets - prob'!D10:D17)</f>
        <v/>
      </c>
      <c r="K11" s="52">
        <f>K10</f>
        <v/>
      </c>
      <c r="L11" s="52">
        <f>L10</f>
        <v/>
      </c>
      <c r="M11" s="52">
        <f>M10</f>
        <v/>
      </c>
      <c r="N11" s="53">
        <f>AVERAGEIF('Brackets - prob'!B10:B11,"="&amp;H11,'Brackets - freq'!B10:B11)*H11</f>
        <v/>
      </c>
      <c r="O11" s="53">
        <f>AVERAGEIF('Brackets - prob'!C10:C13,"="&amp;I11,'Brackets - freq'!C10:C13)*I11</f>
        <v/>
      </c>
      <c r="P11" s="53">
        <f>AVERAGEIF('Brackets - prob'!D10:D17,"="&amp;J11,'Brackets - freq'!D10:D17)*J11</f>
        <v/>
      </c>
      <c r="Q11" s="53">
        <f>Q10</f>
        <v/>
      </c>
      <c r="R11" s="53">
        <f>R10</f>
        <v/>
      </c>
      <c r="S11" s="53">
        <f>S10</f>
        <v/>
      </c>
      <c r="T11" s="191">
        <f>Bracket!E$2*('Brackets - prob'!B10-H11)</f>
        <v/>
      </c>
      <c r="U11" s="191">
        <f>Bracket!F$2*('Brackets - prob'!C10-I11)</f>
        <v/>
      </c>
      <c r="V11" s="191">
        <f>Bracket!G$2*('Brackets - prob'!D10-J11)</f>
        <v/>
      </c>
      <c r="W11" s="191">
        <f>Bracket!H$2*('Brackets - prob'!E10-K11)</f>
        <v/>
      </c>
      <c r="X11" s="191">
        <f>Bracket!I$2*('Brackets - prob'!F10-L11)</f>
        <v/>
      </c>
      <c r="Y11" s="191">
        <f>Bracket!J$2*('Brackets - prob'!G10-M11)</f>
        <v/>
      </c>
      <c r="Z11" s="192">
        <f>SUM(T11:$T11)</f>
        <v/>
      </c>
      <c r="AA11" s="192">
        <f>SUM($T11:U11)</f>
        <v/>
      </c>
      <c r="AB11" s="192">
        <f>SUM($T11:V11)</f>
        <v/>
      </c>
      <c r="AC11" s="192">
        <f>SUM($T11:W11)</f>
        <v/>
      </c>
      <c r="AD11" s="192">
        <f>SUM($T11:X11)</f>
        <v/>
      </c>
      <c r="AE11" s="192">
        <f>SUM($T11:Y11)</f>
        <v/>
      </c>
      <c r="AF11" s="193">
        <f>'Brackets - prob'!B10*(1-'Brackets - prob'!B10-2*'Brackets - freq'!B10+2*B11)+B11-B11^2</f>
        <v/>
      </c>
      <c r="AG11" s="193">
        <f>'Brackets - prob'!C10*(1-'Brackets - prob'!C10-2*'Brackets - freq'!C10+2*C11)+C11-C11^2</f>
        <v/>
      </c>
      <c r="AH11" s="193">
        <f>'Brackets - prob'!D10*(1-'Brackets - prob'!D10-2*'Brackets - freq'!D10+2*D11)+D11-D11^2</f>
        <v/>
      </c>
      <c r="AI11" s="193">
        <f>'Brackets - prob'!E10*(1-'Brackets - prob'!E10-2*'Brackets - freq'!E10+2*E11)+E11-E11^2</f>
        <v/>
      </c>
      <c r="AJ11" s="193">
        <f>'Brackets - prob'!F10*(1-'Brackets - prob'!F10-2*'Brackets - freq'!F10+2*F11)+F11-F11^2</f>
        <v/>
      </c>
      <c r="AK11" s="193">
        <f>'Brackets - prob'!G10*(1-'Brackets - prob'!G10-2*'Brackets - freq'!G10+2*G11)+G11-G11^2</f>
        <v/>
      </c>
      <c r="AL11" s="194">
        <f>Bracket!E$2^2*(('Brackets - prob'!B10-H11)*(1+2*B11)-'Brackets - prob'!B10^2+H11^2-2*('Brackets - prob'!B10*'Brackets - freq'!B10-N11))</f>
        <v/>
      </c>
      <c r="AM11" s="194">
        <f>Bracket!F$2^2*(('Brackets - prob'!C10-I11)*(1+2*C11)-'Brackets - prob'!C10^2+I11^2-2*('Brackets - prob'!C10*'Brackets - freq'!C10-O11))</f>
        <v/>
      </c>
      <c r="AN11" s="194">
        <f>Bracket!G$2^2*(('Brackets - prob'!D10-J11)*(1+2*D11)-'Brackets - prob'!D10^2+J11^2-2*('Brackets - prob'!D10*'Brackets - freq'!D10-P11))</f>
        <v/>
      </c>
      <c r="AO11" s="194">
        <f>Bracket!H$2^2*(('Brackets - prob'!E10-K11)*(1+2*E11)-'Brackets - prob'!E10^2+K11^2-2*('Brackets - prob'!E10*'Brackets - freq'!E10-Q11))</f>
        <v/>
      </c>
      <c r="AP11" s="194">
        <f>Bracket!I$2^2*(('Brackets - prob'!F10-L11)*(1+2*F11)-'Brackets - prob'!F10^2+L11^2-2*('Brackets - prob'!F10*'Brackets - freq'!F10-R11))</f>
        <v/>
      </c>
      <c r="AQ11" s="194">
        <f>Bracket!J$2^2*(('Brackets - prob'!G10-M11)*(1+2*G11)-'Brackets - prob'!G10^2+M11^2-2*('Brackets - prob'!G10*'Brackets - freq'!G10-S11))</f>
        <v/>
      </c>
      <c r="AR11" s="192">
        <f>SUM($AL11:AL11)</f>
        <v/>
      </c>
      <c r="AS11" s="192">
        <f>SUM($AL11:AM11)</f>
        <v/>
      </c>
      <c r="AT11" s="192">
        <f>SUM($AL11:AN11)</f>
        <v/>
      </c>
      <c r="AU11" s="192">
        <f>SUM($AL11:AO11)</f>
        <v/>
      </c>
      <c r="AV11" s="192">
        <f>SUM($AL11:AP11)</f>
        <v/>
      </c>
      <c r="AW11" s="192">
        <f>SUM($AL11:AQ11)</f>
        <v/>
      </c>
      <c r="AX11" s="195">
        <f>IF(Z11=0,0,AR11/Z11)</f>
        <v/>
      </c>
      <c r="AY11" s="195">
        <f>IF(AA11=0,0,AS11/AA11)</f>
        <v/>
      </c>
      <c r="AZ11" s="195">
        <f>IF(AB11=0,0,AT11/AB11)</f>
        <v/>
      </c>
      <c r="BA11" s="195">
        <f>IF(AC11=0,0,AU11/AC11)</f>
        <v/>
      </c>
      <c r="BB11" s="195">
        <f>IF(AD11=0,0,AV11/AD11)</f>
        <v/>
      </c>
      <c r="BC11" s="195">
        <f>IF(AE11=0,0,AW11/AE11)</f>
        <v/>
      </c>
      <c r="BD11" s="196">
        <f>IF(OR(AX11=0,AX11&lt;=-1),1,0)</f>
        <v/>
      </c>
      <c r="BE11" s="196">
        <f>IF(OR(AY11=0,AY11&lt;=-1),1,0)</f>
        <v/>
      </c>
      <c r="BF11" s="196">
        <f>IF(OR(AZ11=0,AZ11&lt;=-1),1,0)</f>
        <v/>
      </c>
      <c r="BG11" s="196">
        <f>IF(OR(BA11=0,BA11&lt;=-1),1,0)</f>
        <v/>
      </c>
      <c r="BH11" s="196">
        <f>IF(OR(BB11=0,BB11&lt;=-1),1,0)</f>
        <v/>
      </c>
      <c r="BI11" s="196">
        <f>IF(OR(BC11=0,BC11&lt;=-1),1,0)</f>
        <v/>
      </c>
      <c r="BJ11" s="197">
        <f>IF(AND('Brackets - prob'!B10&gt;H11-0.5,'Brackets - freq'!B10/'Brackets - prob'!B10&lt;N11/H11^2),1,0)</f>
        <v/>
      </c>
      <c r="BK11" s="197">
        <f>IF(AND('Brackets - prob'!C10&gt;I11-0.5,'Brackets - freq'!C10/'Brackets - prob'!C10&lt;O11/I11^2),1,0)</f>
        <v/>
      </c>
      <c r="BL11" s="197">
        <f>IF(AND('Brackets - prob'!D10&gt;J11-0.5,'Brackets - freq'!D10/'Brackets - prob'!D10&lt;P11/J11^2),1,0)</f>
        <v/>
      </c>
      <c r="BM11" s="197">
        <f>IF(AND('Brackets - prob'!E10&gt;K11-0.5,'Brackets - freq'!E10/'Brackets - prob'!E10&lt;Q11/K11^2),1,0)</f>
        <v/>
      </c>
      <c r="BN11" s="197">
        <f>IF(AND('Brackets - prob'!F10&gt;L11-0.5,'Brackets - freq'!F10/'Brackets - prob'!F10&lt;R11/L11^2),1,0)</f>
        <v/>
      </c>
      <c r="BO11" s="197">
        <f>IF(AND('Brackets - prob'!G10&gt;M11-0.5,'Brackets - freq'!G10/'Brackets - prob'!G10&lt;S11/M11^2),1,0)</f>
        <v/>
      </c>
    </row>
    <row r="12">
      <c r="A12" s="41" t="inlineStr">
        <is>
          <t>Bel/Tem</t>
        </is>
      </c>
      <c r="B12" s="51">
        <f>B11</f>
        <v/>
      </c>
      <c r="C12" s="51">
        <f>C11</f>
        <v/>
      </c>
      <c r="D12" s="51">
        <f>D11</f>
        <v/>
      </c>
      <c r="E12" s="51">
        <f>E11</f>
        <v/>
      </c>
      <c r="F12" s="51">
        <f>F11</f>
        <v/>
      </c>
      <c r="G12" s="51">
        <f>G11</f>
        <v/>
      </c>
      <c r="H12" s="52">
        <f>H11</f>
        <v/>
      </c>
      <c r="I12" s="52">
        <f>I11</f>
        <v/>
      </c>
      <c r="J12" s="52">
        <f>J11</f>
        <v/>
      </c>
      <c r="K12" s="52">
        <f>K11</f>
        <v/>
      </c>
      <c r="L12" s="52">
        <f>L11</f>
        <v/>
      </c>
      <c r="M12" s="52">
        <f>M11</f>
        <v/>
      </c>
      <c r="N12" s="53">
        <f>N11</f>
        <v/>
      </c>
      <c r="O12" s="53">
        <f>O11</f>
        <v/>
      </c>
      <c r="P12" s="53">
        <f>P11</f>
        <v/>
      </c>
      <c r="Q12" s="53">
        <f>Q11</f>
        <v/>
      </c>
      <c r="R12" s="53">
        <f>R11</f>
        <v/>
      </c>
      <c r="S12" s="53">
        <f>S11</f>
        <v/>
      </c>
      <c r="T12" s="191">
        <f>Bracket!E$2*('Brackets - prob'!B11-H12)</f>
        <v/>
      </c>
      <c r="U12" s="191">
        <f>Bracket!F$2*('Brackets - prob'!C11-I12)</f>
        <v/>
      </c>
      <c r="V12" s="191">
        <f>Bracket!G$2*('Brackets - prob'!D11-J12)</f>
        <v/>
      </c>
      <c r="W12" s="191">
        <f>Bracket!H$2*('Brackets - prob'!E11-K12)</f>
        <v/>
      </c>
      <c r="X12" s="191">
        <f>Bracket!I$2*('Brackets - prob'!F11-L12)</f>
        <v/>
      </c>
      <c r="Y12" s="191">
        <f>Bracket!J$2*('Brackets - prob'!G11-M12)</f>
        <v/>
      </c>
      <c r="Z12" s="192">
        <f>SUM(T12:$T12)</f>
        <v/>
      </c>
      <c r="AA12" s="192">
        <f>SUM($T12:U12)</f>
        <v/>
      </c>
      <c r="AB12" s="192">
        <f>SUM($T12:V12)</f>
        <v/>
      </c>
      <c r="AC12" s="192">
        <f>SUM($T12:W12)</f>
        <v/>
      </c>
      <c r="AD12" s="192">
        <f>SUM($T12:X12)</f>
        <v/>
      </c>
      <c r="AE12" s="192">
        <f>SUM($T12:Y12)</f>
        <v/>
      </c>
      <c r="AF12" s="193">
        <f>'Brackets - prob'!B11*(1-'Brackets - prob'!B11-2*'Brackets - freq'!B11+2*B12)+B12-B12^2</f>
        <v/>
      </c>
      <c r="AG12" s="193">
        <f>'Brackets - prob'!C11*(1-'Brackets - prob'!C11-2*'Brackets - freq'!C11+2*C12)+C12-C12^2</f>
        <v/>
      </c>
      <c r="AH12" s="193">
        <f>'Brackets - prob'!D11*(1-'Brackets - prob'!D11-2*'Brackets - freq'!D11+2*D12)+D12-D12^2</f>
        <v/>
      </c>
      <c r="AI12" s="193">
        <f>'Brackets - prob'!E11*(1-'Brackets - prob'!E11-2*'Brackets - freq'!E11+2*E12)+E12-E12^2</f>
        <v/>
      </c>
      <c r="AJ12" s="193">
        <f>'Brackets - prob'!F11*(1-'Brackets - prob'!F11-2*'Brackets - freq'!F11+2*F12)+F12-F12^2</f>
        <v/>
      </c>
      <c r="AK12" s="193">
        <f>'Brackets - prob'!G11*(1-'Brackets - prob'!G11-2*'Brackets - freq'!G11+2*G12)+G12-G12^2</f>
        <v/>
      </c>
      <c r="AL12" s="194">
        <f>Bracket!E$2^2*(('Brackets - prob'!B11-H12)*(1+2*B12)-'Brackets - prob'!B11^2+H12^2-2*('Brackets - prob'!B11*'Brackets - freq'!B11-N12))</f>
        <v/>
      </c>
      <c r="AM12" s="194">
        <f>Bracket!F$2^2*(('Brackets - prob'!C11-I12)*(1+2*C12)-'Brackets - prob'!C11^2+I12^2-2*('Brackets - prob'!C11*'Brackets - freq'!C11-O12))</f>
        <v/>
      </c>
      <c r="AN12" s="194">
        <f>Bracket!G$2^2*(('Brackets - prob'!D11-J12)*(1+2*D12)-'Brackets - prob'!D11^2+J12^2-2*('Brackets - prob'!D11*'Brackets - freq'!D11-P12))</f>
        <v/>
      </c>
      <c r="AO12" s="194">
        <f>Bracket!H$2^2*(('Brackets - prob'!E11-K12)*(1+2*E12)-'Brackets - prob'!E11^2+K12^2-2*('Brackets - prob'!E11*'Brackets - freq'!E11-Q12))</f>
        <v/>
      </c>
      <c r="AP12" s="194">
        <f>Bracket!I$2^2*(('Brackets - prob'!F11-L12)*(1+2*F12)-'Brackets - prob'!F11^2+L12^2-2*('Brackets - prob'!F11*'Brackets - freq'!F11-R12))</f>
        <v/>
      </c>
      <c r="AQ12" s="194">
        <f>Bracket!J$2^2*(('Brackets - prob'!G11-M12)*(1+2*G12)-'Brackets - prob'!G11^2+M12^2-2*('Brackets - prob'!G11*'Brackets - freq'!G11-S12))</f>
        <v/>
      </c>
      <c r="AR12" s="192">
        <f>SUM($AL12:AL12)</f>
        <v/>
      </c>
      <c r="AS12" s="192">
        <f>SUM($AL12:AM12)</f>
        <v/>
      </c>
      <c r="AT12" s="192">
        <f>SUM($AL12:AN12)</f>
        <v/>
      </c>
      <c r="AU12" s="192">
        <f>SUM($AL12:AO12)</f>
        <v/>
      </c>
      <c r="AV12" s="192">
        <f>SUM($AL12:AP12)</f>
        <v/>
      </c>
      <c r="AW12" s="192">
        <f>SUM($AL12:AQ12)</f>
        <v/>
      </c>
      <c r="AX12" s="195">
        <f>IF(Z12=0,0,AR12/Z12)</f>
        <v/>
      </c>
      <c r="AY12" s="195">
        <f>IF(AA12=0,0,AS12/AA12)</f>
        <v/>
      </c>
      <c r="AZ12" s="195">
        <f>IF(AB12=0,0,AT12/AB12)</f>
        <v/>
      </c>
      <c r="BA12" s="195">
        <f>IF(AC12=0,0,AU12/AC12)</f>
        <v/>
      </c>
      <c r="BB12" s="195">
        <f>IF(AD12=0,0,AV12/AD12)</f>
        <v/>
      </c>
      <c r="BC12" s="195">
        <f>IF(AE12=0,0,AW12/AE12)</f>
        <v/>
      </c>
      <c r="BD12" s="196">
        <f>IF(OR(AX12=0,AX12&lt;=-1),1,0)</f>
        <v/>
      </c>
      <c r="BE12" s="196">
        <f>IF(OR(AY12=0,AY12&lt;=-1),1,0)</f>
        <v/>
      </c>
      <c r="BF12" s="196">
        <f>IF(OR(AZ12=0,AZ12&lt;=-1),1,0)</f>
        <v/>
      </c>
      <c r="BG12" s="196">
        <f>IF(OR(BA12=0,BA12&lt;=-1),1,0)</f>
        <v/>
      </c>
      <c r="BH12" s="196">
        <f>IF(OR(BB12=0,BB12&lt;=-1),1,0)</f>
        <v/>
      </c>
      <c r="BI12" s="196">
        <f>IF(OR(BC12=0,BC12&lt;=-1),1,0)</f>
        <v/>
      </c>
      <c r="BJ12" s="197">
        <f>IF(AND('Brackets - prob'!B11&gt;H12-0.5,'Brackets - freq'!B11/'Brackets - prob'!B11&lt;N12/H12^2),1,0)</f>
        <v/>
      </c>
      <c r="BK12" s="197">
        <f>IF(AND('Brackets - prob'!C11&gt;I12-0.5,'Brackets - freq'!C11/'Brackets - prob'!C11&lt;O12/I12^2),1,0)</f>
        <v/>
      </c>
      <c r="BL12" s="197">
        <f>IF(AND('Brackets - prob'!D11&gt;J12-0.5,'Brackets - freq'!D11/'Brackets - prob'!D11&lt;P12/J12^2),1,0)</f>
        <v/>
      </c>
      <c r="BM12" s="197">
        <f>IF(AND('Brackets - prob'!E11&gt;K12-0.5,'Brackets - freq'!E11/'Brackets - prob'!E11&lt;Q12/K12^2),1,0)</f>
        <v/>
      </c>
      <c r="BN12" s="197">
        <f>IF(AND('Brackets - prob'!F11&gt;L12-0.5,'Brackets - freq'!F11/'Brackets - prob'!F11&lt;R12/L12^2),1,0)</f>
        <v/>
      </c>
      <c r="BO12" s="197">
        <f>IF(AND('Brackets - prob'!G11&gt;M12-0.5,'Brackets - freq'!G11/'Brackets - prob'!G11&lt;S12/M12^2),1,0)</f>
        <v/>
      </c>
    </row>
    <row r="13">
      <c r="A13" s="41" t="inlineStr">
        <is>
          <t>LSU</t>
        </is>
      </c>
      <c r="B13" s="51">
        <f>SUMPRODUCT('Brackets - prob'!B12:B13,'Brackets - freq'!B12:B13)</f>
        <v/>
      </c>
      <c r="C13" s="51">
        <f>C12</f>
        <v/>
      </c>
      <c r="D13" s="51">
        <f>D12</f>
        <v/>
      </c>
      <c r="E13" s="51">
        <f>E12</f>
        <v/>
      </c>
      <c r="F13" s="51">
        <f>F12</f>
        <v/>
      </c>
      <c r="G13" s="51">
        <f>G12</f>
        <v/>
      </c>
      <c r="H13" s="52">
        <f>MAX('Brackets - prob'!B12:B13)</f>
        <v/>
      </c>
      <c r="I13" s="52">
        <f>I12</f>
        <v/>
      </c>
      <c r="J13" s="52">
        <f>J12</f>
        <v/>
      </c>
      <c r="K13" s="52">
        <f>K12</f>
        <v/>
      </c>
      <c r="L13" s="52">
        <f>L12</f>
        <v/>
      </c>
      <c r="M13" s="52">
        <f>M12</f>
        <v/>
      </c>
      <c r="N13" s="53">
        <f>AVERAGEIF('Brackets - prob'!B12:B13,"="&amp;H13,'Brackets - freq'!B12:B13)*H13</f>
        <v/>
      </c>
      <c r="O13" s="53">
        <f>O12</f>
        <v/>
      </c>
      <c r="P13" s="53">
        <f>P12</f>
        <v/>
      </c>
      <c r="Q13" s="53">
        <f>Q12</f>
        <v/>
      </c>
      <c r="R13" s="53">
        <f>R12</f>
        <v/>
      </c>
      <c r="S13" s="53">
        <f>S12</f>
        <v/>
      </c>
      <c r="T13" s="191">
        <f>Bracket!E$2*('Brackets - prob'!B12-H13)</f>
        <v/>
      </c>
      <c r="U13" s="191">
        <f>Bracket!F$2*('Brackets - prob'!C12-I13)</f>
        <v/>
      </c>
      <c r="V13" s="191">
        <f>Bracket!G$2*('Brackets - prob'!D12-J13)</f>
        <v/>
      </c>
      <c r="W13" s="191">
        <f>Bracket!H$2*('Brackets - prob'!E12-K13)</f>
        <v/>
      </c>
      <c r="X13" s="191">
        <f>Bracket!I$2*('Brackets - prob'!F12-L13)</f>
        <v/>
      </c>
      <c r="Y13" s="191">
        <f>Bracket!J$2*('Brackets - prob'!G12-M13)</f>
        <v/>
      </c>
      <c r="Z13" s="192">
        <f>SUM(T13:$T13)</f>
        <v/>
      </c>
      <c r="AA13" s="192">
        <f>SUM($T13:U13)</f>
        <v/>
      </c>
      <c r="AB13" s="192">
        <f>SUM($T13:V13)</f>
        <v/>
      </c>
      <c r="AC13" s="192">
        <f>SUM($T13:W13)</f>
        <v/>
      </c>
      <c r="AD13" s="192">
        <f>SUM($T13:X13)</f>
        <v/>
      </c>
      <c r="AE13" s="192">
        <f>SUM($T13:Y13)</f>
        <v/>
      </c>
      <c r="AF13" s="193">
        <f>'Brackets - prob'!B12*(1-'Brackets - prob'!B12-2*'Brackets - freq'!B12+2*B13)+B13-B13^2</f>
        <v/>
      </c>
      <c r="AG13" s="193">
        <f>'Brackets - prob'!C12*(1-'Brackets - prob'!C12-2*'Brackets - freq'!C12+2*C13)+C13-C13^2</f>
        <v/>
      </c>
      <c r="AH13" s="193">
        <f>'Brackets - prob'!D12*(1-'Brackets - prob'!D12-2*'Brackets - freq'!D12+2*D13)+D13-D13^2</f>
        <v/>
      </c>
      <c r="AI13" s="193">
        <f>'Brackets - prob'!E12*(1-'Brackets - prob'!E12-2*'Brackets - freq'!E12+2*E13)+E13-E13^2</f>
        <v/>
      </c>
      <c r="AJ13" s="193">
        <f>'Brackets - prob'!F12*(1-'Brackets - prob'!F12-2*'Brackets - freq'!F12+2*F13)+F13-F13^2</f>
        <v/>
      </c>
      <c r="AK13" s="193">
        <f>'Brackets - prob'!G12*(1-'Brackets - prob'!G12-2*'Brackets - freq'!G12+2*G13)+G13-G13^2</f>
        <v/>
      </c>
      <c r="AL13" s="194">
        <f>Bracket!E$2^2*(('Brackets - prob'!B12-H13)*(1+2*B13)-'Brackets - prob'!B12^2+H13^2-2*('Brackets - prob'!B12*'Brackets - freq'!B12-N13))</f>
        <v/>
      </c>
      <c r="AM13" s="194">
        <f>Bracket!F$2^2*(('Brackets - prob'!C12-I13)*(1+2*C13)-'Brackets - prob'!C12^2+I13^2-2*('Brackets - prob'!C12*'Brackets - freq'!C12-O13))</f>
        <v/>
      </c>
      <c r="AN13" s="194">
        <f>Bracket!G$2^2*(('Brackets - prob'!D12-J13)*(1+2*D13)-'Brackets - prob'!D12^2+J13^2-2*('Brackets - prob'!D12*'Brackets - freq'!D12-P13))</f>
        <v/>
      </c>
      <c r="AO13" s="194">
        <f>Bracket!H$2^2*(('Brackets - prob'!E12-K13)*(1+2*E13)-'Brackets - prob'!E12^2+K13^2-2*('Brackets - prob'!E12*'Brackets - freq'!E12-Q13))</f>
        <v/>
      </c>
      <c r="AP13" s="194">
        <f>Bracket!I$2^2*(('Brackets - prob'!F12-L13)*(1+2*F13)-'Brackets - prob'!F12^2+L13^2-2*('Brackets - prob'!F12*'Brackets - freq'!F12-R13))</f>
        <v/>
      </c>
      <c r="AQ13" s="194">
        <f>Bracket!J$2^2*(('Brackets - prob'!G12-M13)*(1+2*G13)-'Brackets - prob'!G12^2+M13^2-2*('Brackets - prob'!G12*'Brackets - freq'!G12-S13))</f>
        <v/>
      </c>
      <c r="AR13" s="192">
        <f>SUM($AL13:AL13)</f>
        <v/>
      </c>
      <c r="AS13" s="192">
        <f>SUM($AL13:AM13)</f>
        <v/>
      </c>
      <c r="AT13" s="192">
        <f>SUM($AL13:AN13)</f>
        <v/>
      </c>
      <c r="AU13" s="192">
        <f>SUM($AL13:AO13)</f>
        <v/>
      </c>
      <c r="AV13" s="192">
        <f>SUM($AL13:AP13)</f>
        <v/>
      </c>
      <c r="AW13" s="192">
        <f>SUM($AL13:AQ13)</f>
        <v/>
      </c>
      <c r="AX13" s="195">
        <f>IF(Z13=0,0,AR13/Z13)</f>
        <v/>
      </c>
      <c r="AY13" s="195">
        <f>IF(AA13=0,0,AS13/AA13)</f>
        <v/>
      </c>
      <c r="AZ13" s="195">
        <f>IF(AB13=0,0,AT13/AB13)</f>
        <v/>
      </c>
      <c r="BA13" s="195">
        <f>IF(AC13=0,0,AU13/AC13)</f>
        <v/>
      </c>
      <c r="BB13" s="195">
        <f>IF(AD13=0,0,AV13/AD13)</f>
        <v/>
      </c>
      <c r="BC13" s="195">
        <f>IF(AE13=0,0,AW13/AE13)</f>
        <v/>
      </c>
      <c r="BD13" s="196">
        <f>IF(OR(AX13=0,AX13&lt;=-1),1,0)</f>
        <v/>
      </c>
      <c r="BE13" s="196">
        <f>IF(OR(AY13=0,AY13&lt;=-1),1,0)</f>
        <v/>
      </c>
      <c r="BF13" s="196">
        <f>IF(OR(AZ13=0,AZ13&lt;=-1),1,0)</f>
        <v/>
      </c>
      <c r="BG13" s="196">
        <f>IF(OR(BA13=0,BA13&lt;=-1),1,0)</f>
        <v/>
      </c>
      <c r="BH13" s="196">
        <f>IF(OR(BB13=0,BB13&lt;=-1),1,0)</f>
        <v/>
      </c>
      <c r="BI13" s="196">
        <f>IF(OR(BC13=0,BC13&lt;=-1),1,0)</f>
        <v/>
      </c>
      <c r="BJ13" s="197">
        <f>IF(AND('Brackets - prob'!B12&gt;H13-0.5,'Brackets - freq'!B12/'Brackets - prob'!B12&lt;N13/H13^2),1,0)</f>
        <v/>
      </c>
      <c r="BK13" s="197">
        <f>IF(AND('Brackets - prob'!C12&gt;I13-0.5,'Brackets - freq'!C12/'Brackets - prob'!C12&lt;O13/I13^2),1,0)</f>
        <v/>
      </c>
      <c r="BL13" s="197">
        <f>IF(AND('Brackets - prob'!D12&gt;J13-0.5,'Brackets - freq'!D12/'Brackets - prob'!D12&lt;P13/J13^2),1,0)</f>
        <v/>
      </c>
      <c r="BM13" s="197">
        <f>IF(AND('Brackets - prob'!E12&gt;K13-0.5,'Brackets - freq'!E12/'Brackets - prob'!E12&lt;Q13/K13^2),1,0)</f>
        <v/>
      </c>
      <c r="BN13" s="197">
        <f>IF(AND('Brackets - prob'!F12&gt;L13-0.5,'Brackets - freq'!F12/'Brackets - prob'!F12&lt;R13/L13^2),1,0)</f>
        <v/>
      </c>
      <c r="BO13" s="197">
        <f>IF(AND('Brackets - prob'!G12&gt;M13-0.5,'Brackets - freq'!G12/'Brackets - prob'!G12&lt;S13/M13^2),1,0)</f>
        <v/>
      </c>
    </row>
    <row r="14">
      <c r="A14" s="41" t="inlineStr">
        <is>
          <t>Yale</t>
        </is>
      </c>
      <c r="B14" s="51">
        <f>B13</f>
        <v/>
      </c>
      <c r="C14" s="51">
        <f>C13</f>
        <v/>
      </c>
      <c r="D14" s="51">
        <f>D13</f>
        <v/>
      </c>
      <c r="E14" s="51">
        <f>E13</f>
        <v/>
      </c>
      <c r="F14" s="51">
        <f>F13</f>
        <v/>
      </c>
      <c r="G14" s="51">
        <f>G13</f>
        <v/>
      </c>
      <c r="H14" s="52">
        <f>H13</f>
        <v/>
      </c>
      <c r="I14" s="52">
        <f>I13</f>
        <v/>
      </c>
      <c r="J14" s="52">
        <f>J13</f>
        <v/>
      </c>
      <c r="K14" s="52">
        <f>K13</f>
        <v/>
      </c>
      <c r="L14" s="52">
        <f>L13</f>
        <v/>
      </c>
      <c r="M14" s="52">
        <f>M13</f>
        <v/>
      </c>
      <c r="N14" s="53">
        <f>N13</f>
        <v/>
      </c>
      <c r="O14" s="53">
        <f>O13</f>
        <v/>
      </c>
      <c r="P14" s="53">
        <f>P13</f>
        <v/>
      </c>
      <c r="Q14" s="53">
        <f>Q13</f>
        <v/>
      </c>
      <c r="R14" s="53">
        <f>R13</f>
        <v/>
      </c>
      <c r="S14" s="53">
        <f>S13</f>
        <v/>
      </c>
      <c r="T14" s="191">
        <f>Bracket!E$2*('Brackets - prob'!B13-H14)</f>
        <v/>
      </c>
      <c r="U14" s="191">
        <f>Bracket!F$2*('Brackets - prob'!C13-I14)</f>
        <v/>
      </c>
      <c r="V14" s="191">
        <f>Bracket!G$2*('Brackets - prob'!D13-J14)</f>
        <v/>
      </c>
      <c r="W14" s="191">
        <f>Bracket!H$2*('Brackets - prob'!E13-K14)</f>
        <v/>
      </c>
      <c r="X14" s="191">
        <f>Bracket!I$2*('Brackets - prob'!F13-L14)</f>
        <v/>
      </c>
      <c r="Y14" s="191">
        <f>Bracket!J$2*('Brackets - prob'!G13-M14)</f>
        <v/>
      </c>
      <c r="Z14" s="192">
        <f>SUM(T14:$T14)</f>
        <v/>
      </c>
      <c r="AA14" s="192">
        <f>SUM($T14:U14)</f>
        <v/>
      </c>
      <c r="AB14" s="192">
        <f>SUM($T14:V14)</f>
        <v/>
      </c>
      <c r="AC14" s="192">
        <f>SUM($T14:W14)</f>
        <v/>
      </c>
      <c r="AD14" s="192">
        <f>SUM($T14:X14)</f>
        <v/>
      </c>
      <c r="AE14" s="192">
        <f>SUM($T14:Y14)</f>
        <v/>
      </c>
      <c r="AF14" s="193">
        <f>'Brackets - prob'!B13*(1-'Brackets - prob'!B13-2*'Brackets - freq'!B13+2*B14)+B14-B14^2</f>
        <v/>
      </c>
      <c r="AG14" s="193">
        <f>'Brackets - prob'!C13*(1-'Brackets - prob'!C13-2*'Brackets - freq'!C13+2*C14)+C14-C14^2</f>
        <v/>
      </c>
      <c r="AH14" s="193">
        <f>'Brackets - prob'!D13*(1-'Brackets - prob'!D13-2*'Brackets - freq'!D13+2*D14)+D14-D14^2</f>
        <v/>
      </c>
      <c r="AI14" s="193">
        <f>'Brackets - prob'!E13*(1-'Brackets - prob'!E13-2*'Brackets - freq'!E13+2*E14)+E14-E14^2</f>
        <v/>
      </c>
      <c r="AJ14" s="193">
        <f>'Brackets - prob'!F13*(1-'Brackets - prob'!F13-2*'Brackets - freq'!F13+2*F14)+F14-F14^2</f>
        <v/>
      </c>
      <c r="AK14" s="193">
        <f>'Brackets - prob'!G13*(1-'Brackets - prob'!G13-2*'Brackets - freq'!G13+2*G14)+G14-G14^2</f>
        <v/>
      </c>
      <c r="AL14" s="194">
        <f>Bracket!E$2^2*(('Brackets - prob'!B13-H14)*(1+2*B14)-'Brackets - prob'!B13^2+H14^2-2*('Brackets - prob'!B13*'Brackets - freq'!B13-N14))</f>
        <v/>
      </c>
      <c r="AM14" s="194">
        <f>Bracket!F$2^2*(('Brackets - prob'!C13-I14)*(1+2*C14)-'Brackets - prob'!C13^2+I14^2-2*('Brackets - prob'!C13*'Brackets - freq'!C13-O14))</f>
        <v/>
      </c>
      <c r="AN14" s="194">
        <f>Bracket!G$2^2*(('Brackets - prob'!D13-J14)*(1+2*D14)-'Brackets - prob'!D13^2+J14^2-2*('Brackets - prob'!D13*'Brackets - freq'!D13-P14))</f>
        <v/>
      </c>
      <c r="AO14" s="194">
        <f>Bracket!H$2^2*(('Brackets - prob'!E13-K14)*(1+2*E14)-'Brackets - prob'!E13^2+K14^2-2*('Brackets - prob'!E13*'Brackets - freq'!E13-Q14))</f>
        <v/>
      </c>
      <c r="AP14" s="194">
        <f>Bracket!I$2^2*(('Brackets - prob'!F13-L14)*(1+2*F14)-'Brackets - prob'!F13^2+L14^2-2*('Brackets - prob'!F13*'Brackets - freq'!F13-R14))</f>
        <v/>
      </c>
      <c r="AQ14" s="194">
        <f>Bracket!J$2^2*(('Brackets - prob'!G13-M14)*(1+2*G14)-'Brackets - prob'!G13^2+M14^2-2*('Brackets - prob'!G13*'Brackets - freq'!G13-S14))</f>
        <v/>
      </c>
      <c r="AR14" s="192">
        <f>SUM($AL14:AL14)</f>
        <v/>
      </c>
      <c r="AS14" s="192">
        <f>SUM($AL14:AM14)</f>
        <v/>
      </c>
      <c r="AT14" s="192">
        <f>SUM($AL14:AN14)</f>
        <v/>
      </c>
      <c r="AU14" s="192">
        <f>SUM($AL14:AO14)</f>
        <v/>
      </c>
      <c r="AV14" s="192">
        <f>SUM($AL14:AP14)</f>
        <v/>
      </c>
      <c r="AW14" s="192">
        <f>SUM($AL14:AQ14)</f>
        <v/>
      </c>
      <c r="AX14" s="195">
        <f>IF(Z14=0,0,AR14/Z14)</f>
        <v/>
      </c>
      <c r="AY14" s="195">
        <f>IF(AA14=0,0,AS14/AA14)</f>
        <v/>
      </c>
      <c r="AZ14" s="195">
        <f>IF(AB14=0,0,AT14/AB14)</f>
        <v/>
      </c>
      <c r="BA14" s="195">
        <f>IF(AC14=0,0,AU14/AC14)</f>
        <v/>
      </c>
      <c r="BB14" s="195">
        <f>IF(AD14=0,0,AV14/AD14)</f>
        <v/>
      </c>
      <c r="BC14" s="195">
        <f>IF(AE14=0,0,AW14/AE14)</f>
        <v/>
      </c>
      <c r="BD14" s="196">
        <f>IF(OR(AX14=0,AX14&lt;=-1),1,0)</f>
        <v/>
      </c>
      <c r="BE14" s="196">
        <f>IF(OR(AY14=0,AY14&lt;=-1),1,0)</f>
        <v/>
      </c>
      <c r="BF14" s="196">
        <f>IF(OR(AZ14=0,AZ14&lt;=-1),1,0)</f>
        <v/>
      </c>
      <c r="BG14" s="196">
        <f>IF(OR(BA14=0,BA14&lt;=-1),1,0)</f>
        <v/>
      </c>
      <c r="BH14" s="196">
        <f>IF(OR(BB14=0,BB14&lt;=-1),1,0)</f>
        <v/>
      </c>
      <c r="BI14" s="196">
        <f>IF(OR(BC14=0,BC14&lt;=-1),1,0)</f>
        <v/>
      </c>
      <c r="BJ14" s="197">
        <f>IF(AND('Brackets - prob'!B13&gt;H14-0.5,'Brackets - freq'!B13/'Brackets - prob'!B13&lt;N14/H14^2),1,0)</f>
        <v/>
      </c>
      <c r="BK14" s="197">
        <f>IF(AND('Brackets - prob'!C13&gt;I14-0.5,'Brackets - freq'!C13/'Brackets - prob'!C13&lt;O14/I14^2),1,0)</f>
        <v/>
      </c>
      <c r="BL14" s="197">
        <f>IF(AND('Brackets - prob'!D13&gt;J14-0.5,'Brackets - freq'!D13/'Brackets - prob'!D13&lt;P14/J14^2),1,0)</f>
        <v/>
      </c>
      <c r="BM14" s="197">
        <f>IF(AND('Brackets - prob'!E13&gt;K14-0.5,'Brackets - freq'!E13/'Brackets - prob'!E13&lt;Q14/K14^2),1,0)</f>
        <v/>
      </c>
      <c r="BN14" s="197">
        <f>IF(AND('Brackets - prob'!F13&gt;L14-0.5,'Brackets - freq'!F13/'Brackets - prob'!F13&lt;R14/L14^2),1,0)</f>
        <v/>
      </c>
      <c r="BO14" s="197">
        <f>IF(AND('Brackets - prob'!G13&gt;M14-0.5,'Brackets - freq'!G13/'Brackets - prob'!G13&lt;S14/M14^2),1,0)</f>
        <v/>
      </c>
    </row>
    <row r="15">
      <c r="A15" s="41" t="inlineStr">
        <is>
          <t>Louisville</t>
        </is>
      </c>
      <c r="B15" s="51">
        <f>SUMPRODUCT('Brackets - prob'!B14:B15,'Brackets - freq'!B14:B15)</f>
        <v/>
      </c>
      <c r="C15" s="51">
        <f>SUMPRODUCT('Brackets - prob'!C14:C17,'Brackets - freq'!C14:C17)</f>
        <v/>
      </c>
      <c r="D15" s="51">
        <f>D14</f>
        <v/>
      </c>
      <c r="E15" s="51">
        <f>E14</f>
        <v/>
      </c>
      <c r="F15" s="51">
        <f>F14</f>
        <v/>
      </c>
      <c r="G15" s="51">
        <f>G14</f>
        <v/>
      </c>
      <c r="H15" s="52">
        <f>MAX('Brackets - prob'!B14:B15)</f>
        <v/>
      </c>
      <c r="I15" s="52">
        <f>MAX('Brackets - prob'!C14:C17)</f>
        <v/>
      </c>
      <c r="J15" s="52">
        <f>J14</f>
        <v/>
      </c>
      <c r="K15" s="52">
        <f>K14</f>
        <v/>
      </c>
      <c r="L15" s="52">
        <f>L14</f>
        <v/>
      </c>
      <c r="M15" s="52">
        <f>M14</f>
        <v/>
      </c>
      <c r="N15" s="53">
        <f>AVERAGEIF('Brackets - prob'!B14:B15,"="&amp;H15,'Brackets - freq'!B14:B15)*H15</f>
        <v/>
      </c>
      <c r="O15" s="53">
        <f>AVERAGEIF('Brackets - prob'!C14:C17,"="&amp;I15,'Brackets - freq'!C14:C17)*I15</f>
        <v/>
      </c>
      <c r="P15" s="53">
        <f>P14</f>
        <v/>
      </c>
      <c r="Q15" s="53">
        <f>Q14</f>
        <v/>
      </c>
      <c r="R15" s="53">
        <f>R14</f>
        <v/>
      </c>
      <c r="S15" s="53">
        <f>S14</f>
        <v/>
      </c>
      <c r="T15" s="191">
        <f>Bracket!E$2*('Brackets - prob'!B14-H15)</f>
        <v/>
      </c>
      <c r="U15" s="191">
        <f>Bracket!F$2*('Brackets - prob'!C14-I15)</f>
        <v/>
      </c>
      <c r="V15" s="191">
        <f>Bracket!G$2*('Brackets - prob'!D14-J15)</f>
        <v/>
      </c>
      <c r="W15" s="191">
        <f>Bracket!H$2*('Brackets - prob'!E14-K15)</f>
        <v/>
      </c>
      <c r="X15" s="191">
        <f>Bracket!I$2*('Brackets - prob'!F14-L15)</f>
        <v/>
      </c>
      <c r="Y15" s="191">
        <f>Bracket!J$2*('Brackets - prob'!G14-M15)</f>
        <v/>
      </c>
      <c r="Z15" s="192">
        <f>SUM(T15:$T15)</f>
        <v/>
      </c>
      <c r="AA15" s="192">
        <f>SUM($T15:U15)</f>
        <v/>
      </c>
      <c r="AB15" s="192">
        <f>SUM($T15:V15)</f>
        <v/>
      </c>
      <c r="AC15" s="192">
        <f>SUM($T15:W15)</f>
        <v/>
      </c>
      <c r="AD15" s="192">
        <f>SUM($T15:X15)</f>
        <v/>
      </c>
      <c r="AE15" s="192">
        <f>SUM($T15:Y15)</f>
        <v/>
      </c>
      <c r="AF15" s="193">
        <f>'Brackets - prob'!B14*(1-'Brackets - prob'!B14-2*'Brackets - freq'!B14+2*B15)+B15-B15^2</f>
        <v/>
      </c>
      <c r="AG15" s="193">
        <f>'Brackets - prob'!C14*(1-'Brackets - prob'!C14-2*'Brackets - freq'!C14+2*C15)+C15-C15^2</f>
        <v/>
      </c>
      <c r="AH15" s="193">
        <f>'Brackets - prob'!D14*(1-'Brackets - prob'!D14-2*'Brackets - freq'!D14+2*D15)+D15-D15^2</f>
        <v/>
      </c>
      <c r="AI15" s="193">
        <f>'Brackets - prob'!E14*(1-'Brackets - prob'!E14-2*'Brackets - freq'!E14+2*E15)+E15-E15^2</f>
        <v/>
      </c>
      <c r="AJ15" s="193">
        <f>'Brackets - prob'!F14*(1-'Brackets - prob'!F14-2*'Brackets - freq'!F14+2*F15)+F15-F15^2</f>
        <v/>
      </c>
      <c r="AK15" s="193">
        <f>'Brackets - prob'!G14*(1-'Brackets - prob'!G14-2*'Brackets - freq'!G14+2*G15)+G15-G15^2</f>
        <v/>
      </c>
      <c r="AL15" s="194">
        <f>Bracket!E$2^2*(('Brackets - prob'!B14-H15)*(1+2*B15)-'Brackets - prob'!B14^2+H15^2-2*('Brackets - prob'!B14*'Brackets - freq'!B14-N15))</f>
        <v/>
      </c>
      <c r="AM15" s="194">
        <f>Bracket!F$2^2*(('Brackets - prob'!C14-I15)*(1+2*C15)-'Brackets - prob'!C14^2+I15^2-2*('Brackets - prob'!C14*'Brackets - freq'!C14-O15))</f>
        <v/>
      </c>
      <c r="AN15" s="194">
        <f>Bracket!G$2^2*(('Brackets - prob'!D14-J15)*(1+2*D15)-'Brackets - prob'!D14^2+J15^2-2*('Brackets - prob'!D14*'Brackets - freq'!D14-P15))</f>
        <v/>
      </c>
      <c r="AO15" s="194">
        <f>Bracket!H$2^2*(('Brackets - prob'!E14-K15)*(1+2*E15)-'Brackets - prob'!E14^2+K15^2-2*('Brackets - prob'!E14*'Brackets - freq'!E14-Q15))</f>
        <v/>
      </c>
      <c r="AP15" s="194">
        <f>Bracket!I$2^2*(('Brackets - prob'!F14-L15)*(1+2*F15)-'Brackets - prob'!F14^2+L15^2-2*('Brackets - prob'!F14*'Brackets - freq'!F14-R15))</f>
        <v/>
      </c>
      <c r="AQ15" s="194">
        <f>Bracket!J$2^2*(('Brackets - prob'!G14-M15)*(1+2*G15)-'Brackets - prob'!G14^2+M15^2-2*('Brackets - prob'!G14*'Brackets - freq'!G14-S15))</f>
        <v/>
      </c>
      <c r="AR15" s="192">
        <f>SUM($AL15:AL15)</f>
        <v/>
      </c>
      <c r="AS15" s="192">
        <f>SUM($AL15:AM15)</f>
        <v/>
      </c>
      <c r="AT15" s="192">
        <f>SUM($AL15:AN15)</f>
        <v/>
      </c>
      <c r="AU15" s="192">
        <f>SUM($AL15:AO15)</f>
        <v/>
      </c>
      <c r="AV15" s="192">
        <f>SUM($AL15:AP15)</f>
        <v/>
      </c>
      <c r="AW15" s="192">
        <f>SUM($AL15:AQ15)</f>
        <v/>
      </c>
      <c r="AX15" s="195">
        <f>IF(Z15=0,0,AR15/Z15)</f>
        <v/>
      </c>
      <c r="AY15" s="195">
        <f>IF(AA15=0,0,AS15/AA15)</f>
        <v/>
      </c>
      <c r="AZ15" s="195">
        <f>IF(AB15=0,0,AT15/AB15)</f>
        <v/>
      </c>
      <c r="BA15" s="195">
        <f>IF(AC15=0,0,AU15/AC15)</f>
        <v/>
      </c>
      <c r="BB15" s="195">
        <f>IF(AD15=0,0,AV15/AD15)</f>
        <v/>
      </c>
      <c r="BC15" s="195">
        <f>IF(AE15=0,0,AW15/AE15)</f>
        <v/>
      </c>
      <c r="BD15" s="196">
        <f>IF(OR(AX15=0,AX15&lt;=-1),1,0)</f>
        <v/>
      </c>
      <c r="BE15" s="196">
        <f>IF(OR(AY15=0,AY15&lt;=-1),1,0)</f>
        <v/>
      </c>
      <c r="BF15" s="196">
        <f>IF(OR(AZ15=0,AZ15&lt;=-1),1,0)</f>
        <v/>
      </c>
      <c r="BG15" s="196">
        <f>IF(OR(BA15=0,BA15&lt;=-1),1,0)</f>
        <v/>
      </c>
      <c r="BH15" s="196">
        <f>IF(OR(BB15=0,BB15&lt;=-1),1,0)</f>
        <v/>
      </c>
      <c r="BI15" s="196">
        <f>IF(OR(BC15=0,BC15&lt;=-1),1,0)</f>
        <v/>
      </c>
      <c r="BJ15" s="197">
        <f>IF(AND('Brackets - prob'!B14&gt;H15-0.5,'Brackets - freq'!B14/'Brackets - prob'!B14&lt;N15/H15^2),1,0)</f>
        <v/>
      </c>
      <c r="BK15" s="197">
        <f>IF(AND('Brackets - prob'!C14&gt;I15-0.5,'Brackets - freq'!C14/'Brackets - prob'!C14&lt;O15/I15^2),1,0)</f>
        <v/>
      </c>
      <c r="BL15" s="197">
        <f>IF(AND('Brackets - prob'!D14&gt;J15-0.5,'Brackets - freq'!D14/'Brackets - prob'!D14&lt;P15/J15^2),1,0)</f>
        <v/>
      </c>
      <c r="BM15" s="197">
        <f>IF(AND('Brackets - prob'!E14&gt;K15-0.5,'Brackets - freq'!E14/'Brackets - prob'!E14&lt;Q15/K15^2),1,0)</f>
        <v/>
      </c>
      <c r="BN15" s="197">
        <f>IF(AND('Brackets - prob'!F14&gt;L15-0.5,'Brackets - freq'!F14/'Brackets - prob'!F14&lt;R15/L15^2),1,0)</f>
        <v/>
      </c>
      <c r="BO15" s="197">
        <f>IF(AND('Brackets - prob'!G14&gt;M15-0.5,'Brackets - freq'!G14/'Brackets - prob'!G14&lt;S15/M15^2),1,0)</f>
        <v/>
      </c>
    </row>
    <row r="16">
      <c r="A16" s="41" t="inlineStr">
        <is>
          <t>Minnesota</t>
        </is>
      </c>
      <c r="B16" s="51">
        <f>B15</f>
        <v/>
      </c>
      <c r="C16" s="51">
        <f>C15</f>
        <v/>
      </c>
      <c r="D16" s="51">
        <f>D15</f>
        <v/>
      </c>
      <c r="E16" s="51">
        <f>E15</f>
        <v/>
      </c>
      <c r="F16" s="51">
        <f>F15</f>
        <v/>
      </c>
      <c r="G16" s="51">
        <f>G15</f>
        <v/>
      </c>
      <c r="H16" s="52">
        <f>H15</f>
        <v/>
      </c>
      <c r="I16" s="52">
        <f>I15</f>
        <v/>
      </c>
      <c r="J16" s="52">
        <f>J15</f>
        <v/>
      </c>
      <c r="K16" s="52">
        <f>K15</f>
        <v/>
      </c>
      <c r="L16" s="52">
        <f>L15</f>
        <v/>
      </c>
      <c r="M16" s="52">
        <f>M15</f>
        <v/>
      </c>
      <c r="N16" s="53">
        <f>N15</f>
        <v/>
      </c>
      <c r="O16" s="53">
        <f>O15</f>
        <v/>
      </c>
      <c r="P16" s="53">
        <f>P15</f>
        <v/>
      </c>
      <c r="Q16" s="53">
        <f>Q15</f>
        <v/>
      </c>
      <c r="R16" s="53">
        <f>R15</f>
        <v/>
      </c>
      <c r="S16" s="53">
        <f>S15</f>
        <v/>
      </c>
      <c r="T16" s="191">
        <f>Bracket!E$2*('Brackets - prob'!B15-H16)</f>
        <v/>
      </c>
      <c r="U16" s="191">
        <f>Bracket!F$2*('Brackets - prob'!C15-I16)</f>
        <v/>
      </c>
      <c r="V16" s="191">
        <f>Bracket!G$2*('Brackets - prob'!D15-J16)</f>
        <v/>
      </c>
      <c r="W16" s="191">
        <f>Bracket!H$2*('Brackets - prob'!E15-K16)</f>
        <v/>
      </c>
      <c r="X16" s="191">
        <f>Bracket!I$2*('Brackets - prob'!F15-L16)</f>
        <v/>
      </c>
      <c r="Y16" s="191">
        <f>Bracket!J$2*('Brackets - prob'!G15-M16)</f>
        <v/>
      </c>
      <c r="Z16" s="192">
        <f>SUM(T16:$T16)</f>
        <v/>
      </c>
      <c r="AA16" s="192">
        <f>SUM($T16:U16)</f>
        <v/>
      </c>
      <c r="AB16" s="192">
        <f>SUM($T16:V16)</f>
        <v/>
      </c>
      <c r="AC16" s="192">
        <f>SUM($T16:W16)</f>
        <v/>
      </c>
      <c r="AD16" s="192">
        <f>SUM($T16:X16)</f>
        <v/>
      </c>
      <c r="AE16" s="192">
        <f>SUM($T16:Y16)</f>
        <v/>
      </c>
      <c r="AF16" s="193">
        <f>'Brackets - prob'!B15*(1-'Brackets - prob'!B15-2*'Brackets - freq'!B15+2*B16)+B16-B16^2</f>
        <v/>
      </c>
      <c r="AG16" s="193">
        <f>'Brackets - prob'!C15*(1-'Brackets - prob'!C15-2*'Brackets - freq'!C15+2*C16)+C16-C16^2</f>
        <v/>
      </c>
      <c r="AH16" s="193">
        <f>'Brackets - prob'!D15*(1-'Brackets - prob'!D15-2*'Brackets - freq'!D15+2*D16)+D16-D16^2</f>
        <v/>
      </c>
      <c r="AI16" s="193">
        <f>'Brackets - prob'!E15*(1-'Brackets - prob'!E15-2*'Brackets - freq'!E15+2*E16)+E16-E16^2</f>
        <v/>
      </c>
      <c r="AJ16" s="193">
        <f>'Brackets - prob'!F15*(1-'Brackets - prob'!F15-2*'Brackets - freq'!F15+2*F16)+F16-F16^2</f>
        <v/>
      </c>
      <c r="AK16" s="193">
        <f>'Brackets - prob'!G15*(1-'Brackets - prob'!G15-2*'Brackets - freq'!G15+2*G16)+G16-G16^2</f>
        <v/>
      </c>
      <c r="AL16" s="194">
        <f>Bracket!E$2^2*(('Brackets - prob'!B15-H16)*(1+2*B16)-'Brackets - prob'!B15^2+H16^2-2*('Brackets - prob'!B15*'Brackets - freq'!B15-N16))</f>
        <v/>
      </c>
      <c r="AM16" s="194">
        <f>Bracket!F$2^2*(('Brackets - prob'!C15-I16)*(1+2*C16)-'Brackets - prob'!C15^2+I16^2-2*('Brackets - prob'!C15*'Brackets - freq'!C15-O16))</f>
        <v/>
      </c>
      <c r="AN16" s="194">
        <f>Bracket!G$2^2*(('Brackets - prob'!D15-J16)*(1+2*D16)-'Brackets - prob'!D15^2+J16^2-2*('Brackets - prob'!D15*'Brackets - freq'!D15-P16))</f>
        <v/>
      </c>
      <c r="AO16" s="194">
        <f>Bracket!H$2^2*(('Brackets - prob'!E15-K16)*(1+2*E16)-'Brackets - prob'!E15^2+K16^2-2*('Brackets - prob'!E15*'Brackets - freq'!E15-Q16))</f>
        <v/>
      </c>
      <c r="AP16" s="194">
        <f>Bracket!I$2^2*(('Brackets - prob'!F15-L16)*(1+2*F16)-'Brackets - prob'!F15^2+L16^2-2*('Brackets - prob'!F15*'Brackets - freq'!F15-R16))</f>
        <v/>
      </c>
      <c r="AQ16" s="194">
        <f>Bracket!J$2^2*(('Brackets - prob'!G15-M16)*(1+2*G16)-'Brackets - prob'!G15^2+M16^2-2*('Brackets - prob'!G15*'Brackets - freq'!G15-S16))</f>
        <v/>
      </c>
      <c r="AR16" s="192">
        <f>SUM($AL16:AL16)</f>
        <v/>
      </c>
      <c r="AS16" s="192">
        <f>SUM($AL16:AM16)</f>
        <v/>
      </c>
      <c r="AT16" s="192">
        <f>SUM($AL16:AN16)</f>
        <v/>
      </c>
      <c r="AU16" s="192">
        <f>SUM($AL16:AO16)</f>
        <v/>
      </c>
      <c r="AV16" s="192">
        <f>SUM($AL16:AP16)</f>
        <v/>
      </c>
      <c r="AW16" s="192">
        <f>SUM($AL16:AQ16)</f>
        <v/>
      </c>
      <c r="AX16" s="195">
        <f>IF(Z16=0,0,AR16/Z16)</f>
        <v/>
      </c>
      <c r="AY16" s="195">
        <f>IF(AA16=0,0,AS16/AA16)</f>
        <v/>
      </c>
      <c r="AZ16" s="195">
        <f>IF(AB16=0,0,AT16/AB16)</f>
        <v/>
      </c>
      <c r="BA16" s="195">
        <f>IF(AC16=0,0,AU16/AC16)</f>
        <v/>
      </c>
      <c r="BB16" s="195">
        <f>IF(AD16=0,0,AV16/AD16)</f>
        <v/>
      </c>
      <c r="BC16" s="195">
        <f>IF(AE16=0,0,AW16/AE16)</f>
        <v/>
      </c>
      <c r="BD16" s="196">
        <f>IF(OR(AX16=0,AX16&lt;=-1),1,0)</f>
        <v/>
      </c>
      <c r="BE16" s="196">
        <f>IF(OR(AY16=0,AY16&lt;=-1),1,0)</f>
        <v/>
      </c>
      <c r="BF16" s="196">
        <f>IF(OR(AZ16=0,AZ16&lt;=-1),1,0)</f>
        <v/>
      </c>
      <c r="BG16" s="196">
        <f>IF(OR(BA16=0,BA16&lt;=-1),1,0)</f>
        <v/>
      </c>
      <c r="BH16" s="196">
        <f>IF(OR(BB16=0,BB16&lt;=-1),1,0)</f>
        <v/>
      </c>
      <c r="BI16" s="196">
        <f>IF(OR(BC16=0,BC16&lt;=-1),1,0)</f>
        <v/>
      </c>
      <c r="BJ16" s="197">
        <f>IF(AND('Brackets - prob'!B15&gt;H16-0.5,'Brackets - freq'!B15/'Brackets - prob'!B15&lt;N16/H16^2),1,0)</f>
        <v/>
      </c>
      <c r="BK16" s="197">
        <f>IF(AND('Brackets - prob'!C15&gt;I16-0.5,'Brackets - freq'!C15/'Brackets - prob'!C15&lt;O16/I16^2),1,0)</f>
        <v/>
      </c>
      <c r="BL16" s="197">
        <f>IF(AND('Brackets - prob'!D15&gt;J16-0.5,'Brackets - freq'!D15/'Brackets - prob'!D15&lt;P16/J16^2),1,0)</f>
        <v/>
      </c>
      <c r="BM16" s="197">
        <f>IF(AND('Brackets - prob'!E15&gt;K16-0.5,'Brackets - freq'!E15/'Brackets - prob'!E15&lt;Q16/K16^2),1,0)</f>
        <v/>
      </c>
      <c r="BN16" s="197">
        <f>IF(AND('Brackets - prob'!F15&gt;L16-0.5,'Brackets - freq'!F15/'Brackets - prob'!F15&lt;R16/L16^2),1,0)</f>
        <v/>
      </c>
      <c r="BO16" s="197">
        <f>IF(AND('Brackets - prob'!G15&gt;M16-0.5,'Brackets - freq'!G15/'Brackets - prob'!G15&lt;S16/M16^2),1,0)</f>
        <v/>
      </c>
    </row>
    <row r="17">
      <c r="A17" s="41" t="inlineStr">
        <is>
          <t>Michigan State</t>
        </is>
      </c>
      <c r="B17" s="51">
        <f>SUMPRODUCT('Brackets - prob'!B16:B17,'Brackets - freq'!B16:B17)</f>
        <v/>
      </c>
      <c r="C17" s="51">
        <f>C16</f>
        <v/>
      </c>
      <c r="D17" s="51">
        <f>D16</f>
        <v/>
      </c>
      <c r="E17" s="51">
        <f>E16</f>
        <v/>
      </c>
      <c r="F17" s="51">
        <f>F16</f>
        <v/>
      </c>
      <c r="G17" s="51">
        <f>G16</f>
        <v/>
      </c>
      <c r="H17" s="52">
        <f>MAX('Brackets - prob'!B16:B17)</f>
        <v/>
      </c>
      <c r="I17" s="52">
        <f>I16</f>
        <v/>
      </c>
      <c r="J17" s="52">
        <f>J16</f>
        <v/>
      </c>
      <c r="K17" s="52">
        <f>K16</f>
        <v/>
      </c>
      <c r="L17" s="52">
        <f>L16</f>
        <v/>
      </c>
      <c r="M17" s="52">
        <f>M16</f>
        <v/>
      </c>
      <c r="N17" s="53">
        <f>AVERAGEIF('Brackets - prob'!B16:B17,"="&amp;H17,'Brackets - freq'!B16:B17)*H17</f>
        <v/>
      </c>
      <c r="O17" s="53">
        <f>O16</f>
        <v/>
      </c>
      <c r="P17" s="53">
        <f>P16</f>
        <v/>
      </c>
      <c r="Q17" s="53">
        <f>Q16</f>
        <v/>
      </c>
      <c r="R17" s="53">
        <f>R16</f>
        <v/>
      </c>
      <c r="S17" s="53">
        <f>S16</f>
        <v/>
      </c>
      <c r="T17" s="191">
        <f>Bracket!E$2*('Brackets - prob'!B16-H17)</f>
        <v/>
      </c>
      <c r="U17" s="191">
        <f>Bracket!F$2*('Brackets - prob'!C16-I17)</f>
        <v/>
      </c>
      <c r="V17" s="191">
        <f>Bracket!G$2*('Brackets - prob'!D16-J17)</f>
        <v/>
      </c>
      <c r="W17" s="191">
        <f>Bracket!H$2*('Brackets - prob'!E16-K17)</f>
        <v/>
      </c>
      <c r="X17" s="191">
        <f>Bracket!I$2*('Brackets - prob'!F16-L17)</f>
        <v/>
      </c>
      <c r="Y17" s="191">
        <f>Bracket!J$2*('Brackets - prob'!G16-M17)</f>
        <v/>
      </c>
      <c r="Z17" s="192">
        <f>SUM(T17:$T17)</f>
        <v/>
      </c>
      <c r="AA17" s="192">
        <f>SUM($T17:U17)</f>
        <v/>
      </c>
      <c r="AB17" s="192">
        <f>SUM($T17:V17)</f>
        <v/>
      </c>
      <c r="AC17" s="192">
        <f>SUM($T17:W17)</f>
        <v/>
      </c>
      <c r="AD17" s="192">
        <f>SUM($T17:X17)</f>
        <v/>
      </c>
      <c r="AE17" s="192">
        <f>SUM($T17:Y17)</f>
        <v/>
      </c>
      <c r="AF17" s="193">
        <f>'Brackets - prob'!B16*(1-'Brackets - prob'!B16-2*'Brackets - freq'!B16+2*B17)+B17-B17^2</f>
        <v/>
      </c>
      <c r="AG17" s="193">
        <f>'Brackets - prob'!C16*(1-'Brackets - prob'!C16-2*'Brackets - freq'!C16+2*C17)+C17-C17^2</f>
        <v/>
      </c>
      <c r="AH17" s="193">
        <f>'Brackets - prob'!D16*(1-'Brackets - prob'!D16-2*'Brackets - freq'!D16+2*D17)+D17-D17^2</f>
        <v/>
      </c>
      <c r="AI17" s="193">
        <f>'Brackets - prob'!E16*(1-'Brackets - prob'!E16-2*'Brackets - freq'!E16+2*E17)+E17-E17^2</f>
        <v/>
      </c>
      <c r="AJ17" s="193">
        <f>'Brackets - prob'!F16*(1-'Brackets - prob'!F16-2*'Brackets - freq'!F16+2*F17)+F17-F17^2</f>
        <v/>
      </c>
      <c r="AK17" s="193">
        <f>'Brackets - prob'!G16*(1-'Brackets - prob'!G16-2*'Brackets - freq'!G16+2*G17)+G17-G17^2</f>
        <v/>
      </c>
      <c r="AL17" s="194">
        <f>Bracket!E$2^2*(('Brackets - prob'!B16-H17)*(1+2*B17)-'Brackets - prob'!B16^2+H17^2-2*('Brackets - prob'!B16*'Brackets - freq'!B16-N17))</f>
        <v/>
      </c>
      <c r="AM17" s="194">
        <f>Bracket!F$2^2*(('Brackets - prob'!C16-I17)*(1+2*C17)-'Brackets - prob'!C16^2+I17^2-2*('Brackets - prob'!C16*'Brackets - freq'!C16-O17))</f>
        <v/>
      </c>
      <c r="AN17" s="194">
        <f>Bracket!G$2^2*(('Brackets - prob'!D16-J17)*(1+2*D17)-'Brackets - prob'!D16^2+J17^2-2*('Brackets - prob'!D16*'Brackets - freq'!D16-P17))</f>
        <v/>
      </c>
      <c r="AO17" s="194">
        <f>Bracket!H$2^2*(('Brackets - prob'!E16-K17)*(1+2*E17)-'Brackets - prob'!E16^2+K17^2-2*('Brackets - prob'!E16*'Brackets - freq'!E16-Q17))</f>
        <v/>
      </c>
      <c r="AP17" s="194">
        <f>Bracket!I$2^2*(('Brackets - prob'!F16-L17)*(1+2*F17)-'Brackets - prob'!F16^2+L17^2-2*('Brackets - prob'!F16*'Brackets - freq'!F16-R17))</f>
        <v/>
      </c>
      <c r="AQ17" s="194">
        <f>Bracket!J$2^2*(('Brackets - prob'!G16-M17)*(1+2*G17)-'Brackets - prob'!G16^2+M17^2-2*('Brackets - prob'!G16*'Brackets - freq'!G16-S17))</f>
        <v/>
      </c>
      <c r="AR17" s="192">
        <f>SUM($AL17:AL17)</f>
        <v/>
      </c>
      <c r="AS17" s="192">
        <f>SUM($AL17:AM17)</f>
        <v/>
      </c>
      <c r="AT17" s="192">
        <f>SUM($AL17:AN17)</f>
        <v/>
      </c>
      <c r="AU17" s="192">
        <f>SUM($AL17:AO17)</f>
        <v/>
      </c>
      <c r="AV17" s="192">
        <f>SUM($AL17:AP17)</f>
        <v/>
      </c>
      <c r="AW17" s="192">
        <f>SUM($AL17:AQ17)</f>
        <v/>
      </c>
      <c r="AX17" s="195">
        <f>IF(Z17=0,0,AR17/Z17)</f>
        <v/>
      </c>
      <c r="AY17" s="195">
        <f>IF(AA17=0,0,AS17/AA17)</f>
        <v/>
      </c>
      <c r="AZ17" s="195">
        <f>IF(AB17=0,0,AT17/AB17)</f>
        <v/>
      </c>
      <c r="BA17" s="195">
        <f>IF(AC17=0,0,AU17/AC17)</f>
        <v/>
      </c>
      <c r="BB17" s="195">
        <f>IF(AD17=0,0,AV17/AD17)</f>
        <v/>
      </c>
      <c r="BC17" s="195">
        <f>IF(AE17=0,0,AW17/AE17)</f>
        <v/>
      </c>
      <c r="BD17" s="196">
        <f>IF(OR(AX17=0,AX17&lt;=-1),1,0)</f>
        <v/>
      </c>
      <c r="BE17" s="196">
        <f>IF(OR(AY17=0,AY17&lt;=-1),1,0)</f>
        <v/>
      </c>
      <c r="BF17" s="196">
        <f>IF(OR(AZ17=0,AZ17&lt;=-1),1,0)</f>
        <v/>
      </c>
      <c r="BG17" s="196">
        <f>IF(OR(BA17=0,BA17&lt;=-1),1,0)</f>
        <v/>
      </c>
      <c r="BH17" s="196">
        <f>IF(OR(BB17=0,BB17&lt;=-1),1,0)</f>
        <v/>
      </c>
      <c r="BI17" s="196">
        <f>IF(OR(BC17=0,BC17&lt;=-1),1,0)</f>
        <v/>
      </c>
      <c r="BJ17" s="197">
        <f>IF(AND('Brackets - prob'!B16&gt;H17-0.5,'Brackets - freq'!B16/'Brackets - prob'!B16&lt;N17/H17^2),1,0)</f>
        <v/>
      </c>
      <c r="BK17" s="197">
        <f>IF(AND('Brackets - prob'!C16&gt;I17-0.5,'Brackets - freq'!C16/'Brackets - prob'!C16&lt;O17/I17^2),1,0)</f>
        <v/>
      </c>
      <c r="BL17" s="197">
        <f>IF(AND('Brackets - prob'!D16&gt;J17-0.5,'Brackets - freq'!D16/'Brackets - prob'!D16&lt;P17/J17^2),1,0)</f>
        <v/>
      </c>
      <c r="BM17" s="197">
        <f>IF(AND('Brackets - prob'!E16&gt;K17-0.5,'Brackets - freq'!E16/'Brackets - prob'!E16&lt;Q17/K17^2),1,0)</f>
        <v/>
      </c>
      <c r="BN17" s="197">
        <f>IF(AND('Brackets - prob'!F16&gt;L17-0.5,'Brackets - freq'!F16/'Brackets - prob'!F16&lt;R17/L17^2),1,0)</f>
        <v/>
      </c>
      <c r="BO17" s="197">
        <f>IF(AND('Brackets - prob'!G16&gt;M17-0.5,'Brackets - freq'!G16/'Brackets - prob'!G16&lt;S17/M17^2),1,0)</f>
        <v/>
      </c>
    </row>
    <row r="18">
      <c r="A18" s="41" t="inlineStr">
        <is>
          <t>Bradley</t>
        </is>
      </c>
      <c r="B18" s="51">
        <f>B17</f>
        <v/>
      </c>
      <c r="C18" s="51">
        <f>C17</f>
        <v/>
      </c>
      <c r="D18" s="51">
        <f>D17</f>
        <v/>
      </c>
      <c r="E18" s="51">
        <f>E17</f>
        <v/>
      </c>
      <c r="F18" s="51">
        <f>F17</f>
        <v/>
      </c>
      <c r="G18" s="51">
        <f>G17</f>
        <v/>
      </c>
      <c r="H18" s="52">
        <f>H17</f>
        <v/>
      </c>
      <c r="I18" s="52">
        <f>I17</f>
        <v/>
      </c>
      <c r="J18" s="52">
        <f>J17</f>
        <v/>
      </c>
      <c r="K18" s="52">
        <f>K17</f>
        <v/>
      </c>
      <c r="L18" s="52">
        <f>L17</f>
        <v/>
      </c>
      <c r="M18" s="52">
        <f>M17</f>
        <v/>
      </c>
      <c r="N18" s="53">
        <f>N17</f>
        <v/>
      </c>
      <c r="O18" s="53">
        <f>O17</f>
        <v/>
      </c>
      <c r="P18" s="53">
        <f>P17</f>
        <v/>
      </c>
      <c r="Q18" s="53">
        <f>Q17</f>
        <v/>
      </c>
      <c r="R18" s="53">
        <f>R17</f>
        <v/>
      </c>
      <c r="S18" s="53">
        <f>S17</f>
        <v/>
      </c>
      <c r="T18" s="191">
        <f>Bracket!E$2*('Brackets - prob'!B17-H18)</f>
        <v/>
      </c>
      <c r="U18" s="191">
        <f>Bracket!F$2*('Brackets - prob'!C17-I18)</f>
        <v/>
      </c>
      <c r="V18" s="191">
        <f>Bracket!G$2*('Brackets - prob'!D17-J18)</f>
        <v/>
      </c>
      <c r="W18" s="191">
        <f>Bracket!H$2*('Brackets - prob'!E17-K18)</f>
        <v/>
      </c>
      <c r="X18" s="191">
        <f>Bracket!I$2*('Brackets - prob'!F17-L18)</f>
        <v/>
      </c>
      <c r="Y18" s="191">
        <f>Bracket!J$2*('Brackets - prob'!G17-M18)</f>
        <v/>
      </c>
      <c r="Z18" s="192">
        <f>SUM(T18:$T18)</f>
        <v/>
      </c>
      <c r="AA18" s="192">
        <f>SUM($T18:U18)</f>
        <v/>
      </c>
      <c r="AB18" s="192">
        <f>SUM($T18:V18)</f>
        <v/>
      </c>
      <c r="AC18" s="192">
        <f>SUM($T18:W18)</f>
        <v/>
      </c>
      <c r="AD18" s="192">
        <f>SUM($T18:X18)</f>
        <v/>
      </c>
      <c r="AE18" s="192">
        <f>SUM($T18:Y18)</f>
        <v/>
      </c>
      <c r="AF18" s="193">
        <f>'Brackets - prob'!B17*(1-'Brackets - prob'!B17-2*'Brackets - freq'!B17+2*B18)+B18-B18^2</f>
        <v/>
      </c>
      <c r="AG18" s="193">
        <f>'Brackets - prob'!C17*(1-'Brackets - prob'!C17-2*'Brackets - freq'!C17+2*C18)+C18-C18^2</f>
        <v/>
      </c>
      <c r="AH18" s="193">
        <f>'Brackets - prob'!D17*(1-'Brackets - prob'!D17-2*'Brackets - freq'!D17+2*D18)+D18-D18^2</f>
        <v/>
      </c>
      <c r="AI18" s="193">
        <f>'Brackets - prob'!E17*(1-'Brackets - prob'!E17-2*'Brackets - freq'!E17+2*E18)+E18-E18^2</f>
        <v/>
      </c>
      <c r="AJ18" s="193">
        <f>'Brackets - prob'!F17*(1-'Brackets - prob'!F17-2*'Brackets - freq'!F17+2*F18)+F18-F18^2</f>
        <v/>
      </c>
      <c r="AK18" s="193">
        <f>'Brackets - prob'!G17*(1-'Brackets - prob'!G17-2*'Brackets - freq'!G17+2*G18)+G18-G18^2</f>
        <v/>
      </c>
      <c r="AL18" s="194">
        <f>Bracket!E$2^2*(('Brackets - prob'!B17-H18)*(1+2*B18)-'Brackets - prob'!B17^2+H18^2-2*('Brackets - prob'!B17*'Brackets - freq'!B17-N18))</f>
        <v/>
      </c>
      <c r="AM18" s="194">
        <f>Bracket!F$2^2*(('Brackets - prob'!C17-I18)*(1+2*C18)-'Brackets - prob'!C17^2+I18^2-2*('Brackets - prob'!C17*'Brackets - freq'!C17-O18))</f>
        <v/>
      </c>
      <c r="AN18" s="194">
        <f>Bracket!G$2^2*(('Brackets - prob'!D17-J18)*(1+2*D18)-'Brackets - prob'!D17^2+J18^2-2*('Brackets - prob'!D17*'Brackets - freq'!D17-P18))</f>
        <v/>
      </c>
      <c r="AO18" s="194">
        <f>Bracket!H$2^2*(('Brackets - prob'!E17-K18)*(1+2*E18)-'Brackets - prob'!E17^2+K18^2-2*('Brackets - prob'!E17*'Brackets - freq'!E17-Q18))</f>
        <v/>
      </c>
      <c r="AP18" s="194">
        <f>Bracket!I$2^2*(('Brackets - prob'!F17-L18)*(1+2*F18)-'Brackets - prob'!F17^2+L18^2-2*('Brackets - prob'!F17*'Brackets - freq'!F17-R18))</f>
        <v/>
      </c>
      <c r="AQ18" s="194">
        <f>Bracket!J$2^2*(('Brackets - prob'!G17-M18)*(1+2*G18)-'Brackets - prob'!G17^2+M18^2-2*('Brackets - prob'!G17*'Brackets - freq'!G17-S18))</f>
        <v/>
      </c>
      <c r="AR18" s="192">
        <f>SUM($AL18:AL18)</f>
        <v/>
      </c>
      <c r="AS18" s="192">
        <f>SUM($AL18:AM18)</f>
        <v/>
      </c>
      <c r="AT18" s="192">
        <f>SUM($AL18:AN18)</f>
        <v/>
      </c>
      <c r="AU18" s="192">
        <f>SUM($AL18:AO18)</f>
        <v/>
      </c>
      <c r="AV18" s="192">
        <f>SUM($AL18:AP18)</f>
        <v/>
      </c>
      <c r="AW18" s="192">
        <f>SUM($AL18:AQ18)</f>
        <v/>
      </c>
      <c r="AX18" s="195">
        <f>IF(Z18=0,0,AR18/Z18)</f>
        <v/>
      </c>
      <c r="AY18" s="195">
        <f>IF(AA18=0,0,AS18/AA18)</f>
        <v/>
      </c>
      <c r="AZ18" s="195">
        <f>IF(AB18=0,0,AT18/AB18)</f>
        <v/>
      </c>
      <c r="BA18" s="195">
        <f>IF(AC18=0,0,AU18/AC18)</f>
        <v/>
      </c>
      <c r="BB18" s="195">
        <f>IF(AD18=0,0,AV18/AD18)</f>
        <v/>
      </c>
      <c r="BC18" s="195">
        <f>IF(AE18=0,0,AW18/AE18)</f>
        <v/>
      </c>
      <c r="BD18" s="196">
        <f>IF(OR(AX18=0,AX18&lt;=-1),1,0)</f>
        <v/>
      </c>
      <c r="BE18" s="196">
        <f>IF(OR(AY18=0,AY18&lt;=-1),1,0)</f>
        <v/>
      </c>
      <c r="BF18" s="196">
        <f>IF(OR(AZ18=0,AZ18&lt;=-1),1,0)</f>
        <v/>
      </c>
      <c r="BG18" s="196">
        <f>IF(OR(BA18=0,BA18&lt;=-1),1,0)</f>
        <v/>
      </c>
      <c r="BH18" s="196">
        <f>IF(OR(BB18=0,BB18&lt;=-1),1,0)</f>
        <v/>
      </c>
      <c r="BI18" s="196">
        <f>IF(OR(BC18=0,BC18&lt;=-1),1,0)</f>
        <v/>
      </c>
      <c r="BJ18" s="197">
        <f>IF(AND('Brackets - prob'!B17&gt;H18-0.5,'Brackets - freq'!B17/'Brackets - prob'!B17&lt;N18/H18^2),1,0)</f>
        <v/>
      </c>
      <c r="BK18" s="197">
        <f>IF(AND('Brackets - prob'!C17&gt;I18-0.5,'Brackets - freq'!C17/'Brackets - prob'!C17&lt;O18/I18^2),1,0)</f>
        <v/>
      </c>
      <c r="BL18" s="197">
        <f>IF(AND('Brackets - prob'!D17&gt;J18-0.5,'Brackets - freq'!D17/'Brackets - prob'!D17&lt;P18/J18^2),1,0)</f>
        <v/>
      </c>
      <c r="BM18" s="197">
        <f>IF(AND('Brackets - prob'!E17&gt;K18-0.5,'Brackets - freq'!E17/'Brackets - prob'!E17&lt;Q18/K18^2),1,0)</f>
        <v/>
      </c>
      <c r="BN18" s="197">
        <f>IF(AND('Brackets - prob'!F17&gt;L18-0.5,'Brackets - freq'!F17/'Brackets - prob'!F17&lt;R18/L18^2),1,0)</f>
        <v/>
      </c>
      <c r="BO18" s="197">
        <f>IF(AND('Brackets - prob'!G17&gt;M18-0.5,'Brackets - freq'!G17/'Brackets - prob'!G17&lt;S18/M18^2),1,0)</f>
        <v/>
      </c>
    </row>
    <row r="19">
      <c r="A19" s="41" t="inlineStr">
        <is>
          <t>Gonzaga</t>
        </is>
      </c>
      <c r="B19" s="51">
        <f>SUMPRODUCT('Brackets - prob'!B18:B19,'Brackets - freq'!B18:B19)</f>
        <v/>
      </c>
      <c r="C19" s="51">
        <f>SUMPRODUCT('Brackets - prob'!C18:C21,'Brackets - freq'!C18:C21)</f>
        <v/>
      </c>
      <c r="D19" s="51">
        <f>SUMPRODUCT('Brackets - prob'!D18:D25,'Brackets - freq'!D18:D25)</f>
        <v/>
      </c>
      <c r="E19" s="51">
        <f>SUMPRODUCT('Brackets - prob'!E18:E33,'Brackets - freq'!E18:E33)</f>
        <v/>
      </c>
      <c r="F19" s="51">
        <f>F18</f>
        <v/>
      </c>
      <c r="G19" s="51">
        <f>G18</f>
        <v/>
      </c>
      <c r="H19" s="52">
        <f>MAX('Brackets - prob'!B18:B19)</f>
        <v/>
      </c>
      <c r="I19" s="52">
        <f>MAX('Brackets - prob'!C18:C21)</f>
        <v/>
      </c>
      <c r="J19" s="52">
        <f>MAX('Brackets - prob'!D18:D25)</f>
        <v/>
      </c>
      <c r="K19" s="52">
        <f>MAX('Brackets - prob'!E18:E33)</f>
        <v/>
      </c>
      <c r="L19" s="52">
        <f>L18</f>
        <v/>
      </c>
      <c r="M19" s="52">
        <f>M18</f>
        <v/>
      </c>
      <c r="N19" s="53">
        <f>AVERAGEIF('Brackets - prob'!B18:B19,"="&amp;H19,'Brackets - freq'!B18:B19)*H19</f>
        <v/>
      </c>
      <c r="O19" s="53">
        <f>AVERAGEIF('Brackets - prob'!C18:C21,"="&amp;I19,'Brackets - freq'!C18:C21)*I19</f>
        <v/>
      </c>
      <c r="P19" s="53">
        <f>AVERAGEIF('Brackets - prob'!D18:D25,"="&amp;J19,'Brackets - freq'!D18:D25)*J19</f>
        <v/>
      </c>
      <c r="Q19" s="53">
        <f>AVERAGEIF('Brackets - prob'!E18:E33,"="&amp;K19,'Brackets - freq'!E18:E33)*K19</f>
        <v/>
      </c>
      <c r="R19" s="53">
        <f>R18</f>
        <v/>
      </c>
      <c r="S19" s="53">
        <f>S18</f>
        <v/>
      </c>
      <c r="T19" s="191">
        <f>Bracket!E$2*('Brackets - prob'!B18-H19)</f>
        <v/>
      </c>
      <c r="U19" s="191">
        <f>Bracket!F$2*('Brackets - prob'!C18-I19)</f>
        <v/>
      </c>
      <c r="V19" s="191">
        <f>Bracket!G$2*('Brackets - prob'!D18-J19)</f>
        <v/>
      </c>
      <c r="W19" s="191">
        <f>Bracket!H$2*('Brackets - prob'!E18-K19)</f>
        <v/>
      </c>
      <c r="X19" s="191">
        <f>Bracket!I$2*('Brackets - prob'!F18-L19)</f>
        <v/>
      </c>
      <c r="Y19" s="191">
        <f>Bracket!J$2*('Brackets - prob'!G18-M19)</f>
        <v/>
      </c>
      <c r="Z19" s="192">
        <f>SUM(T19:$T19)</f>
        <v/>
      </c>
      <c r="AA19" s="192">
        <f>SUM($T19:U19)</f>
        <v/>
      </c>
      <c r="AB19" s="192">
        <f>SUM($T19:V19)</f>
        <v/>
      </c>
      <c r="AC19" s="192">
        <f>SUM($T19:W19)</f>
        <v/>
      </c>
      <c r="AD19" s="192">
        <f>SUM($T19:X19)</f>
        <v/>
      </c>
      <c r="AE19" s="192">
        <f>SUM($T19:Y19)</f>
        <v/>
      </c>
      <c r="AF19" s="193">
        <f>'Brackets - prob'!B18*(1-'Brackets - prob'!B18-2*'Brackets - freq'!B18+2*B19)+B19-B19^2</f>
        <v/>
      </c>
      <c r="AG19" s="193">
        <f>'Brackets - prob'!C18*(1-'Brackets - prob'!C18-2*'Brackets - freq'!C18+2*C19)+C19-C19^2</f>
        <v/>
      </c>
      <c r="AH19" s="193">
        <f>'Brackets - prob'!D18*(1-'Brackets - prob'!D18-2*'Brackets - freq'!D18+2*D19)+D19-D19^2</f>
        <v/>
      </c>
      <c r="AI19" s="193">
        <f>'Brackets - prob'!E18*(1-'Brackets - prob'!E18-2*'Brackets - freq'!E18+2*E19)+E19-E19^2</f>
        <v/>
      </c>
      <c r="AJ19" s="193">
        <f>'Brackets - prob'!F18*(1-'Brackets - prob'!F18-2*'Brackets - freq'!F18+2*F19)+F19-F19^2</f>
        <v/>
      </c>
      <c r="AK19" s="193">
        <f>'Brackets - prob'!G18*(1-'Brackets - prob'!G18-2*'Brackets - freq'!G18+2*G19)+G19-G19^2</f>
        <v/>
      </c>
      <c r="AL19" s="194">
        <f>Bracket!E$2^2*(('Brackets - prob'!B18-H19)*(1+2*B19)-'Brackets - prob'!B18^2+H19^2-2*('Brackets - prob'!B18*'Brackets - freq'!B18-N19))</f>
        <v/>
      </c>
      <c r="AM19" s="194">
        <f>Bracket!F$2^2*(('Brackets - prob'!C18-I19)*(1+2*C19)-'Brackets - prob'!C18^2+I19^2-2*('Brackets - prob'!C18*'Brackets - freq'!C18-O19))</f>
        <v/>
      </c>
      <c r="AN19" s="194">
        <f>Bracket!G$2^2*(('Brackets - prob'!D18-J19)*(1+2*D19)-'Brackets - prob'!D18^2+J19^2-2*('Brackets - prob'!D18*'Brackets - freq'!D18-P19))</f>
        <v/>
      </c>
      <c r="AO19" s="194">
        <f>Bracket!H$2^2*(('Brackets - prob'!E18-K19)*(1+2*E19)-'Brackets - prob'!E18^2+K19^2-2*('Brackets - prob'!E18*'Brackets - freq'!E18-Q19))</f>
        <v/>
      </c>
      <c r="AP19" s="194">
        <f>Bracket!I$2^2*(('Brackets - prob'!F18-L19)*(1+2*F19)-'Brackets - prob'!F18^2+L19^2-2*('Brackets - prob'!F18*'Brackets - freq'!F18-R19))</f>
        <v/>
      </c>
      <c r="AQ19" s="194">
        <f>Bracket!J$2^2*(('Brackets - prob'!G18-M19)*(1+2*G19)-'Brackets - prob'!G18^2+M19^2-2*('Brackets - prob'!G18*'Brackets - freq'!G18-S19))</f>
        <v/>
      </c>
      <c r="AR19" s="192">
        <f>SUM($AL19:AL19)</f>
        <v/>
      </c>
      <c r="AS19" s="192">
        <f>SUM($AL19:AM19)</f>
        <v/>
      </c>
      <c r="AT19" s="192">
        <f>SUM($AL19:AN19)</f>
        <v/>
      </c>
      <c r="AU19" s="192">
        <f>SUM($AL19:AO19)</f>
        <v/>
      </c>
      <c r="AV19" s="192">
        <f>SUM($AL19:AP19)</f>
        <v/>
      </c>
      <c r="AW19" s="192">
        <f>SUM($AL19:AQ19)</f>
        <v/>
      </c>
      <c r="AX19" s="195">
        <f>IF(Z19=0,0,AR19/Z19)</f>
        <v/>
      </c>
      <c r="AY19" s="195">
        <f>IF(AA19=0,0,AS19/AA19)</f>
        <v/>
      </c>
      <c r="AZ19" s="195">
        <f>IF(AB19=0,0,AT19/AB19)</f>
        <v/>
      </c>
      <c r="BA19" s="195">
        <f>IF(AC19=0,0,AU19/AC19)</f>
        <v/>
      </c>
      <c r="BB19" s="195">
        <f>IF(AD19=0,0,AV19/AD19)</f>
        <v/>
      </c>
      <c r="BC19" s="195">
        <f>IF(AE19=0,0,AW19/AE19)</f>
        <v/>
      </c>
      <c r="BD19" s="196">
        <f>IF(OR(AX19=0,AX19&lt;=-1),1,0)</f>
        <v/>
      </c>
      <c r="BE19" s="196">
        <f>IF(OR(AY19=0,AY19&lt;=-1),1,0)</f>
        <v/>
      </c>
      <c r="BF19" s="196">
        <f>IF(OR(AZ19=0,AZ19&lt;=-1),1,0)</f>
        <v/>
      </c>
      <c r="BG19" s="196">
        <f>IF(OR(BA19=0,BA19&lt;=-1),1,0)</f>
        <v/>
      </c>
      <c r="BH19" s="196">
        <f>IF(OR(BB19=0,BB19&lt;=-1),1,0)</f>
        <v/>
      </c>
      <c r="BI19" s="196">
        <f>IF(OR(BC19=0,BC19&lt;=-1),1,0)</f>
        <v/>
      </c>
      <c r="BJ19" s="197">
        <f>IF(AND('Brackets - prob'!B18&gt;H19-0.5,'Brackets - freq'!B18/'Brackets - prob'!B18&lt;N19/H19^2),1,0)</f>
        <v/>
      </c>
      <c r="BK19" s="197">
        <f>IF(AND('Brackets - prob'!C18&gt;I19-0.5,'Brackets - freq'!C18/'Brackets - prob'!C18&lt;O19/I19^2),1,0)</f>
        <v/>
      </c>
      <c r="BL19" s="197">
        <f>IF(AND('Brackets - prob'!D18&gt;J19-0.5,'Brackets - freq'!D18/'Brackets - prob'!D18&lt;P19/J19^2),1,0)</f>
        <v/>
      </c>
      <c r="BM19" s="197">
        <f>IF(AND('Brackets - prob'!E18&gt;K19-0.5,'Brackets - freq'!E18/'Brackets - prob'!E18&lt;Q19/K19^2),1,0)</f>
        <v/>
      </c>
      <c r="BN19" s="197">
        <f>IF(AND('Brackets - prob'!F18&gt;L19-0.5,'Brackets - freq'!F18/'Brackets - prob'!F18&lt;R19/L19^2),1,0)</f>
        <v/>
      </c>
      <c r="BO19" s="197">
        <f>IF(AND('Brackets - prob'!G18&gt;M19-0.5,'Brackets - freq'!G18/'Brackets - prob'!G18&lt;S19/M19^2),1,0)</f>
        <v/>
      </c>
    </row>
    <row r="20">
      <c r="A20" s="41" t="inlineStr">
        <is>
          <t>FD/PV</t>
        </is>
      </c>
      <c r="B20" s="51">
        <f>B19</f>
        <v/>
      </c>
      <c r="C20" s="51">
        <f>C19</f>
        <v/>
      </c>
      <c r="D20" s="51">
        <f>D19</f>
        <v/>
      </c>
      <c r="E20" s="51">
        <f>E19</f>
        <v/>
      </c>
      <c r="F20" s="51">
        <f>F19</f>
        <v/>
      </c>
      <c r="G20" s="51">
        <f>G19</f>
        <v/>
      </c>
      <c r="H20" s="52">
        <f>H19</f>
        <v/>
      </c>
      <c r="I20" s="52">
        <f>I19</f>
        <v/>
      </c>
      <c r="J20" s="52">
        <f>J19</f>
        <v/>
      </c>
      <c r="K20" s="52">
        <f>K19</f>
        <v/>
      </c>
      <c r="L20" s="52">
        <f>L19</f>
        <v/>
      </c>
      <c r="M20" s="52">
        <f>M19</f>
        <v/>
      </c>
      <c r="N20" s="53">
        <f>N19</f>
        <v/>
      </c>
      <c r="O20" s="53">
        <f>O19</f>
        <v/>
      </c>
      <c r="P20" s="53">
        <f>P19</f>
        <v/>
      </c>
      <c r="Q20" s="53">
        <f>Q19</f>
        <v/>
      </c>
      <c r="R20" s="53">
        <f>R19</f>
        <v/>
      </c>
      <c r="S20" s="53">
        <f>S19</f>
        <v/>
      </c>
      <c r="T20" s="191">
        <f>Bracket!E$2*('Brackets - prob'!B19-H20)</f>
        <v/>
      </c>
      <c r="U20" s="191">
        <f>Bracket!F$2*('Brackets - prob'!C19-I20)</f>
        <v/>
      </c>
      <c r="V20" s="191">
        <f>Bracket!G$2*('Brackets - prob'!D19-J20)</f>
        <v/>
      </c>
      <c r="W20" s="191">
        <f>Bracket!H$2*('Brackets - prob'!E19-K20)</f>
        <v/>
      </c>
      <c r="X20" s="191">
        <f>Bracket!I$2*('Brackets - prob'!F19-L20)</f>
        <v/>
      </c>
      <c r="Y20" s="191">
        <f>Bracket!J$2*('Brackets - prob'!G19-M20)</f>
        <v/>
      </c>
      <c r="Z20" s="192">
        <f>SUM(T20:$T20)</f>
        <v/>
      </c>
      <c r="AA20" s="192">
        <f>SUM($T20:U20)</f>
        <v/>
      </c>
      <c r="AB20" s="192">
        <f>SUM($T20:V20)</f>
        <v/>
      </c>
      <c r="AC20" s="192">
        <f>SUM($T20:W20)</f>
        <v/>
      </c>
      <c r="AD20" s="192">
        <f>SUM($T20:X20)</f>
        <v/>
      </c>
      <c r="AE20" s="192">
        <f>SUM($T20:Y20)</f>
        <v/>
      </c>
      <c r="AF20" s="193">
        <f>'Brackets - prob'!B19*(1-'Brackets - prob'!B19-2*'Brackets - freq'!B19+2*B20)+B20-B20^2</f>
        <v/>
      </c>
      <c r="AG20" s="193">
        <f>'Brackets - prob'!C19*(1-'Brackets - prob'!C19-2*'Brackets - freq'!C19+2*C20)+C20-C20^2</f>
        <v/>
      </c>
      <c r="AH20" s="193">
        <f>'Brackets - prob'!D19*(1-'Brackets - prob'!D19-2*'Brackets - freq'!D19+2*D20)+D20-D20^2</f>
        <v/>
      </c>
      <c r="AI20" s="193">
        <f>'Brackets - prob'!E19*(1-'Brackets - prob'!E19-2*'Brackets - freq'!E19+2*E20)+E20-E20^2</f>
        <v/>
      </c>
      <c r="AJ20" s="193">
        <f>'Brackets - prob'!F19*(1-'Brackets - prob'!F19-2*'Brackets - freq'!F19+2*F20)+F20-F20^2</f>
        <v/>
      </c>
      <c r="AK20" s="193">
        <f>'Brackets - prob'!G19*(1-'Brackets - prob'!G19-2*'Brackets - freq'!G19+2*G20)+G20-G20^2</f>
        <v/>
      </c>
      <c r="AL20" s="194">
        <f>Bracket!E$2^2*(('Brackets - prob'!B19-H20)*(1+2*B20)-'Brackets - prob'!B19^2+H20^2-2*('Brackets - prob'!B19*'Brackets - freq'!B19-N20))</f>
        <v/>
      </c>
      <c r="AM20" s="194">
        <f>Bracket!F$2^2*(('Brackets - prob'!C19-I20)*(1+2*C20)-'Brackets - prob'!C19^2+I20^2-2*('Brackets - prob'!C19*'Brackets - freq'!C19-O20))</f>
        <v/>
      </c>
      <c r="AN20" s="194">
        <f>Bracket!G$2^2*(('Brackets - prob'!D19-J20)*(1+2*D20)-'Brackets - prob'!D19^2+J20^2-2*('Brackets - prob'!D19*'Brackets - freq'!D19-P20))</f>
        <v/>
      </c>
      <c r="AO20" s="194">
        <f>Bracket!H$2^2*(('Brackets - prob'!E19-K20)*(1+2*E20)-'Brackets - prob'!E19^2+K20^2-2*('Brackets - prob'!E19*'Brackets - freq'!E19-Q20))</f>
        <v/>
      </c>
      <c r="AP20" s="194">
        <f>Bracket!I$2^2*(('Brackets - prob'!F19-L20)*(1+2*F20)-'Brackets - prob'!F19^2+L20^2-2*('Brackets - prob'!F19*'Brackets - freq'!F19-R20))</f>
        <v/>
      </c>
      <c r="AQ20" s="194">
        <f>Bracket!J$2^2*(('Brackets - prob'!G19-M20)*(1+2*G20)-'Brackets - prob'!G19^2+M20^2-2*('Brackets - prob'!G19*'Brackets - freq'!G19-S20))</f>
        <v/>
      </c>
      <c r="AR20" s="192">
        <f>SUM($AL20:AL20)</f>
        <v/>
      </c>
      <c r="AS20" s="192">
        <f>SUM($AL20:AM20)</f>
        <v/>
      </c>
      <c r="AT20" s="192">
        <f>SUM($AL20:AN20)</f>
        <v/>
      </c>
      <c r="AU20" s="192">
        <f>SUM($AL20:AO20)</f>
        <v/>
      </c>
      <c r="AV20" s="192">
        <f>SUM($AL20:AP20)</f>
        <v/>
      </c>
      <c r="AW20" s="192">
        <f>SUM($AL20:AQ20)</f>
        <v/>
      </c>
      <c r="AX20" s="195">
        <f>IF(Z20=0,0,AR20/Z20)</f>
        <v/>
      </c>
      <c r="AY20" s="195">
        <f>IF(AA20=0,0,AS20/AA20)</f>
        <v/>
      </c>
      <c r="AZ20" s="195">
        <f>IF(AB20=0,0,AT20/AB20)</f>
        <v/>
      </c>
      <c r="BA20" s="195">
        <f>IF(AC20=0,0,AU20/AC20)</f>
        <v/>
      </c>
      <c r="BB20" s="195">
        <f>IF(AD20=0,0,AV20/AD20)</f>
        <v/>
      </c>
      <c r="BC20" s="195">
        <f>IF(AE20=0,0,AW20/AE20)</f>
        <v/>
      </c>
      <c r="BD20" s="196">
        <f>IF(OR(AX20=0,AX20&lt;=-1),1,0)</f>
        <v/>
      </c>
      <c r="BE20" s="196">
        <f>IF(OR(AY20=0,AY20&lt;=-1),1,0)</f>
        <v/>
      </c>
      <c r="BF20" s="196">
        <f>IF(OR(AZ20=0,AZ20&lt;=-1),1,0)</f>
        <v/>
      </c>
      <c r="BG20" s="196">
        <f>IF(OR(BA20=0,BA20&lt;=-1),1,0)</f>
        <v/>
      </c>
      <c r="BH20" s="196">
        <f>IF(OR(BB20=0,BB20&lt;=-1),1,0)</f>
        <v/>
      </c>
      <c r="BI20" s="196">
        <f>IF(OR(BC20=0,BC20&lt;=-1),1,0)</f>
        <v/>
      </c>
      <c r="BJ20" s="197">
        <f>IF(AND('Brackets - prob'!B19&gt;H20-0.5,'Brackets - freq'!B19/'Brackets - prob'!B19&lt;N20/H20^2),1,0)</f>
        <v/>
      </c>
      <c r="BK20" s="197">
        <f>IF(AND('Brackets - prob'!C19&gt;I20-0.5,'Brackets - freq'!C19/'Brackets - prob'!C19&lt;O20/I20^2),1,0)</f>
        <v/>
      </c>
      <c r="BL20" s="197">
        <f>IF(AND('Brackets - prob'!D19&gt;J20-0.5,'Brackets - freq'!D19/'Brackets - prob'!D19&lt;P20/J20^2),1,0)</f>
        <v/>
      </c>
      <c r="BM20" s="197">
        <f>IF(AND('Brackets - prob'!E19&gt;K20-0.5,'Brackets - freq'!E19/'Brackets - prob'!E19&lt;Q20/K20^2),1,0)</f>
        <v/>
      </c>
      <c r="BN20" s="197">
        <f>IF(AND('Brackets - prob'!F19&gt;L20-0.5,'Brackets - freq'!F19/'Brackets - prob'!F19&lt;R20/L20^2),1,0)</f>
        <v/>
      </c>
      <c r="BO20" s="197">
        <f>IF(AND('Brackets - prob'!G19&gt;M20-0.5,'Brackets - freq'!G19/'Brackets - prob'!G19&lt;S20/M20^2),1,0)</f>
        <v/>
      </c>
    </row>
    <row r="21">
      <c r="A21" s="41" t="inlineStr">
        <is>
          <t>Syracuse</t>
        </is>
      </c>
      <c r="B21" s="51">
        <f>SUMPRODUCT('Brackets - prob'!B20:B21,'Brackets - freq'!B20:B21)</f>
        <v/>
      </c>
      <c r="C21" s="51">
        <f>C20</f>
        <v/>
      </c>
      <c r="D21" s="51">
        <f>D20</f>
        <v/>
      </c>
      <c r="E21" s="51">
        <f>E20</f>
        <v/>
      </c>
      <c r="F21" s="51">
        <f>F20</f>
        <v/>
      </c>
      <c r="G21" s="51">
        <f>G20</f>
        <v/>
      </c>
      <c r="H21" s="52">
        <f>MAX('Brackets - prob'!B20:B21)</f>
        <v/>
      </c>
      <c r="I21" s="52">
        <f>I20</f>
        <v/>
      </c>
      <c r="J21" s="52">
        <f>J20</f>
        <v/>
      </c>
      <c r="K21" s="52">
        <f>K20</f>
        <v/>
      </c>
      <c r="L21" s="52">
        <f>L20</f>
        <v/>
      </c>
      <c r="M21" s="52">
        <f>M20</f>
        <v/>
      </c>
      <c r="N21" s="53">
        <f>AVERAGEIF('Brackets - prob'!B20:B21,"="&amp;H21,'Brackets - freq'!B20:B21)*H21</f>
        <v/>
      </c>
      <c r="O21" s="53">
        <f>O20</f>
        <v/>
      </c>
      <c r="P21" s="53">
        <f>P20</f>
        <v/>
      </c>
      <c r="Q21" s="53">
        <f>Q20</f>
        <v/>
      </c>
      <c r="R21" s="53">
        <f>R20</f>
        <v/>
      </c>
      <c r="S21" s="53">
        <f>S20</f>
        <v/>
      </c>
      <c r="T21" s="191">
        <f>Bracket!E$2*('Brackets - prob'!B20-H21)</f>
        <v/>
      </c>
      <c r="U21" s="191">
        <f>Bracket!F$2*('Brackets - prob'!C20-I21)</f>
        <v/>
      </c>
      <c r="V21" s="191">
        <f>Bracket!G$2*('Brackets - prob'!D20-J21)</f>
        <v/>
      </c>
      <c r="W21" s="191">
        <f>Bracket!H$2*('Brackets - prob'!E20-K21)</f>
        <v/>
      </c>
      <c r="X21" s="191">
        <f>Bracket!I$2*('Brackets - prob'!F20-L21)</f>
        <v/>
      </c>
      <c r="Y21" s="191">
        <f>Bracket!J$2*('Brackets - prob'!G20-M21)</f>
        <v/>
      </c>
      <c r="Z21" s="192">
        <f>SUM(T21:$T21)</f>
        <v/>
      </c>
      <c r="AA21" s="192">
        <f>SUM($T21:U21)</f>
        <v/>
      </c>
      <c r="AB21" s="192">
        <f>SUM($T21:V21)</f>
        <v/>
      </c>
      <c r="AC21" s="192">
        <f>SUM($T21:W21)</f>
        <v/>
      </c>
      <c r="AD21" s="192">
        <f>SUM($T21:X21)</f>
        <v/>
      </c>
      <c r="AE21" s="192">
        <f>SUM($T21:Y21)</f>
        <v/>
      </c>
      <c r="AF21" s="193">
        <f>'Brackets - prob'!B20*(1-'Brackets - prob'!B20-2*'Brackets - freq'!B20+2*B21)+B21-B21^2</f>
        <v/>
      </c>
      <c r="AG21" s="193">
        <f>'Brackets - prob'!C20*(1-'Brackets - prob'!C20-2*'Brackets - freq'!C20+2*C21)+C21-C21^2</f>
        <v/>
      </c>
      <c r="AH21" s="193">
        <f>'Brackets - prob'!D20*(1-'Brackets - prob'!D20-2*'Brackets - freq'!D20+2*D21)+D21-D21^2</f>
        <v/>
      </c>
      <c r="AI21" s="193">
        <f>'Brackets - prob'!E20*(1-'Brackets - prob'!E20-2*'Brackets - freq'!E20+2*E21)+E21-E21^2</f>
        <v/>
      </c>
      <c r="AJ21" s="193">
        <f>'Brackets - prob'!F20*(1-'Brackets - prob'!F20-2*'Brackets - freq'!F20+2*F21)+F21-F21^2</f>
        <v/>
      </c>
      <c r="AK21" s="193">
        <f>'Brackets - prob'!G20*(1-'Brackets - prob'!G20-2*'Brackets - freq'!G20+2*G21)+G21-G21^2</f>
        <v/>
      </c>
      <c r="AL21" s="194">
        <f>Bracket!E$2^2*(('Brackets - prob'!B20-H21)*(1+2*B21)-'Brackets - prob'!B20^2+H21^2-2*('Brackets - prob'!B20*'Brackets - freq'!B20-N21))</f>
        <v/>
      </c>
      <c r="AM21" s="194">
        <f>Bracket!F$2^2*(('Brackets - prob'!C20-I21)*(1+2*C21)-'Brackets - prob'!C20^2+I21^2-2*('Brackets - prob'!C20*'Brackets - freq'!C20-O21))</f>
        <v/>
      </c>
      <c r="AN21" s="194">
        <f>Bracket!G$2^2*(('Brackets - prob'!D20-J21)*(1+2*D21)-'Brackets - prob'!D20^2+J21^2-2*('Brackets - prob'!D20*'Brackets - freq'!D20-P21))</f>
        <v/>
      </c>
      <c r="AO21" s="194">
        <f>Bracket!H$2^2*(('Brackets - prob'!E20-K21)*(1+2*E21)-'Brackets - prob'!E20^2+K21^2-2*('Brackets - prob'!E20*'Brackets - freq'!E20-Q21))</f>
        <v/>
      </c>
      <c r="AP21" s="194">
        <f>Bracket!I$2^2*(('Brackets - prob'!F20-L21)*(1+2*F21)-'Brackets - prob'!F20^2+L21^2-2*('Brackets - prob'!F20*'Brackets - freq'!F20-R21))</f>
        <v/>
      </c>
      <c r="AQ21" s="194">
        <f>Bracket!J$2^2*(('Brackets - prob'!G20-M21)*(1+2*G21)-'Brackets - prob'!G20^2+M21^2-2*('Brackets - prob'!G20*'Brackets - freq'!G20-S21))</f>
        <v/>
      </c>
      <c r="AR21" s="192">
        <f>SUM($AL21:AL21)</f>
        <v/>
      </c>
      <c r="AS21" s="192">
        <f>SUM($AL21:AM21)</f>
        <v/>
      </c>
      <c r="AT21" s="192">
        <f>SUM($AL21:AN21)</f>
        <v/>
      </c>
      <c r="AU21" s="192">
        <f>SUM($AL21:AO21)</f>
        <v/>
      </c>
      <c r="AV21" s="192">
        <f>SUM($AL21:AP21)</f>
        <v/>
      </c>
      <c r="AW21" s="192">
        <f>SUM($AL21:AQ21)</f>
        <v/>
      </c>
      <c r="AX21" s="195">
        <f>IF(Z21=0,0,AR21/Z21)</f>
        <v/>
      </c>
      <c r="AY21" s="195">
        <f>IF(AA21=0,0,AS21/AA21)</f>
        <v/>
      </c>
      <c r="AZ21" s="195">
        <f>IF(AB21=0,0,AT21/AB21)</f>
        <v/>
      </c>
      <c r="BA21" s="195">
        <f>IF(AC21=0,0,AU21/AC21)</f>
        <v/>
      </c>
      <c r="BB21" s="195">
        <f>IF(AD21=0,0,AV21/AD21)</f>
        <v/>
      </c>
      <c r="BC21" s="195">
        <f>IF(AE21=0,0,AW21/AE21)</f>
        <v/>
      </c>
      <c r="BD21" s="196">
        <f>IF(OR(AX21=0,AX21&lt;=-1),1,0)</f>
        <v/>
      </c>
      <c r="BE21" s="196">
        <f>IF(OR(AY21=0,AY21&lt;=-1),1,0)</f>
        <v/>
      </c>
      <c r="BF21" s="196">
        <f>IF(OR(AZ21=0,AZ21&lt;=-1),1,0)</f>
        <v/>
      </c>
      <c r="BG21" s="196">
        <f>IF(OR(BA21=0,BA21&lt;=-1),1,0)</f>
        <v/>
      </c>
      <c r="BH21" s="196">
        <f>IF(OR(BB21=0,BB21&lt;=-1),1,0)</f>
        <v/>
      </c>
      <c r="BI21" s="196">
        <f>IF(OR(BC21=0,BC21&lt;=-1),1,0)</f>
        <v/>
      </c>
      <c r="BJ21" s="197">
        <f>IF(AND('Brackets - prob'!B20&gt;H21-0.5,'Brackets - freq'!B20/'Brackets - prob'!B20&lt;N21/H21^2),1,0)</f>
        <v/>
      </c>
      <c r="BK21" s="197">
        <f>IF(AND('Brackets - prob'!C20&gt;I21-0.5,'Brackets - freq'!C20/'Brackets - prob'!C20&lt;O21/I21^2),1,0)</f>
        <v/>
      </c>
      <c r="BL21" s="197">
        <f>IF(AND('Brackets - prob'!D20&gt;J21-0.5,'Brackets - freq'!D20/'Brackets - prob'!D20&lt;P21/J21^2),1,0)</f>
        <v/>
      </c>
      <c r="BM21" s="197">
        <f>IF(AND('Brackets - prob'!E20&gt;K21-0.5,'Brackets - freq'!E20/'Brackets - prob'!E20&lt;Q21/K21^2),1,0)</f>
        <v/>
      </c>
      <c r="BN21" s="197">
        <f>IF(AND('Brackets - prob'!F20&gt;L21-0.5,'Brackets - freq'!F20/'Brackets - prob'!F20&lt;R21/L21^2),1,0)</f>
        <v/>
      </c>
      <c r="BO21" s="197">
        <f>IF(AND('Brackets - prob'!G20&gt;M21-0.5,'Brackets - freq'!G20/'Brackets - prob'!G20&lt;S21/M21^2),1,0)</f>
        <v/>
      </c>
    </row>
    <row r="22">
      <c r="A22" s="41" t="inlineStr">
        <is>
          <t>Baylor</t>
        </is>
      </c>
      <c r="B22" s="51">
        <f>B21</f>
        <v/>
      </c>
      <c r="C22" s="51">
        <f>C21</f>
        <v/>
      </c>
      <c r="D22" s="51">
        <f>D21</f>
        <v/>
      </c>
      <c r="E22" s="51">
        <f>E21</f>
        <v/>
      </c>
      <c r="F22" s="51">
        <f>F21</f>
        <v/>
      </c>
      <c r="G22" s="51">
        <f>G21</f>
        <v/>
      </c>
      <c r="H22" s="52">
        <f>H21</f>
        <v/>
      </c>
      <c r="I22" s="52">
        <f>I21</f>
        <v/>
      </c>
      <c r="J22" s="52">
        <f>J21</f>
        <v/>
      </c>
      <c r="K22" s="52">
        <f>K21</f>
        <v/>
      </c>
      <c r="L22" s="52">
        <f>L21</f>
        <v/>
      </c>
      <c r="M22" s="52">
        <f>M21</f>
        <v/>
      </c>
      <c r="N22" s="53">
        <f>N21</f>
        <v/>
      </c>
      <c r="O22" s="53">
        <f>O21</f>
        <v/>
      </c>
      <c r="P22" s="53">
        <f>P21</f>
        <v/>
      </c>
      <c r="Q22" s="53">
        <f>Q21</f>
        <v/>
      </c>
      <c r="R22" s="53">
        <f>R21</f>
        <v/>
      </c>
      <c r="S22" s="53">
        <f>S21</f>
        <v/>
      </c>
      <c r="T22" s="191">
        <f>Bracket!E$2*('Brackets - prob'!B21-H22)</f>
        <v/>
      </c>
      <c r="U22" s="191">
        <f>Bracket!F$2*('Brackets - prob'!C21-I22)</f>
        <v/>
      </c>
      <c r="V22" s="191">
        <f>Bracket!G$2*('Brackets - prob'!D21-J22)</f>
        <v/>
      </c>
      <c r="W22" s="191">
        <f>Bracket!H$2*('Brackets - prob'!E21-K22)</f>
        <v/>
      </c>
      <c r="X22" s="191">
        <f>Bracket!I$2*('Brackets - prob'!F21-L22)</f>
        <v/>
      </c>
      <c r="Y22" s="191">
        <f>Bracket!J$2*('Brackets - prob'!G21-M22)</f>
        <v/>
      </c>
      <c r="Z22" s="192">
        <f>SUM(T22:$T22)</f>
        <v/>
      </c>
      <c r="AA22" s="192">
        <f>SUM($T22:U22)</f>
        <v/>
      </c>
      <c r="AB22" s="192">
        <f>SUM($T22:V22)</f>
        <v/>
      </c>
      <c r="AC22" s="192">
        <f>SUM($T22:W22)</f>
        <v/>
      </c>
      <c r="AD22" s="192">
        <f>SUM($T22:X22)</f>
        <v/>
      </c>
      <c r="AE22" s="192">
        <f>SUM($T22:Y22)</f>
        <v/>
      </c>
      <c r="AF22" s="193">
        <f>'Brackets - prob'!B21*(1-'Brackets - prob'!B21-2*'Brackets - freq'!B21+2*B22)+B22-B22^2</f>
        <v/>
      </c>
      <c r="AG22" s="193">
        <f>'Brackets - prob'!C21*(1-'Brackets - prob'!C21-2*'Brackets - freq'!C21+2*C22)+C22-C22^2</f>
        <v/>
      </c>
      <c r="AH22" s="193">
        <f>'Brackets - prob'!D21*(1-'Brackets - prob'!D21-2*'Brackets - freq'!D21+2*D22)+D22-D22^2</f>
        <v/>
      </c>
      <c r="AI22" s="193">
        <f>'Brackets - prob'!E21*(1-'Brackets - prob'!E21-2*'Brackets - freq'!E21+2*E22)+E22-E22^2</f>
        <v/>
      </c>
      <c r="AJ22" s="193">
        <f>'Brackets - prob'!F21*(1-'Brackets - prob'!F21-2*'Brackets - freq'!F21+2*F22)+F22-F22^2</f>
        <v/>
      </c>
      <c r="AK22" s="193">
        <f>'Brackets - prob'!G21*(1-'Brackets - prob'!G21-2*'Brackets - freq'!G21+2*G22)+G22-G22^2</f>
        <v/>
      </c>
      <c r="AL22" s="194">
        <f>Bracket!E$2^2*(('Brackets - prob'!B21-H22)*(1+2*B22)-'Brackets - prob'!B21^2+H22^2-2*('Brackets - prob'!B21*'Brackets - freq'!B21-N22))</f>
        <v/>
      </c>
      <c r="AM22" s="194">
        <f>Bracket!F$2^2*(('Brackets - prob'!C21-I22)*(1+2*C22)-'Brackets - prob'!C21^2+I22^2-2*('Brackets - prob'!C21*'Brackets - freq'!C21-O22))</f>
        <v/>
      </c>
      <c r="AN22" s="194">
        <f>Bracket!G$2^2*(('Brackets - prob'!D21-J22)*(1+2*D22)-'Brackets - prob'!D21^2+J22^2-2*('Brackets - prob'!D21*'Brackets - freq'!D21-P22))</f>
        <v/>
      </c>
      <c r="AO22" s="194">
        <f>Bracket!H$2^2*(('Brackets - prob'!E21-K22)*(1+2*E22)-'Brackets - prob'!E21^2+K22^2-2*('Brackets - prob'!E21*'Brackets - freq'!E21-Q22))</f>
        <v/>
      </c>
      <c r="AP22" s="194">
        <f>Bracket!I$2^2*(('Brackets - prob'!F21-L22)*(1+2*F22)-'Brackets - prob'!F21^2+L22^2-2*('Brackets - prob'!F21*'Brackets - freq'!F21-R22))</f>
        <v/>
      </c>
      <c r="AQ22" s="194">
        <f>Bracket!J$2^2*(('Brackets - prob'!G21-M22)*(1+2*G22)-'Brackets - prob'!G21^2+M22^2-2*('Brackets - prob'!G21*'Brackets - freq'!G21-S22))</f>
        <v/>
      </c>
      <c r="AR22" s="192">
        <f>SUM($AL22:AL22)</f>
        <v/>
      </c>
      <c r="AS22" s="192">
        <f>SUM($AL22:AM22)</f>
        <v/>
      </c>
      <c r="AT22" s="192">
        <f>SUM($AL22:AN22)</f>
        <v/>
      </c>
      <c r="AU22" s="192">
        <f>SUM($AL22:AO22)</f>
        <v/>
      </c>
      <c r="AV22" s="192">
        <f>SUM($AL22:AP22)</f>
        <v/>
      </c>
      <c r="AW22" s="192">
        <f>SUM($AL22:AQ22)</f>
        <v/>
      </c>
      <c r="AX22" s="195">
        <f>IF(Z22=0,0,AR22/Z22)</f>
        <v/>
      </c>
      <c r="AY22" s="195">
        <f>IF(AA22=0,0,AS22/AA22)</f>
        <v/>
      </c>
      <c r="AZ22" s="195">
        <f>IF(AB22=0,0,AT22/AB22)</f>
        <v/>
      </c>
      <c r="BA22" s="195">
        <f>IF(AC22=0,0,AU22/AC22)</f>
        <v/>
      </c>
      <c r="BB22" s="195">
        <f>IF(AD22=0,0,AV22/AD22)</f>
        <v/>
      </c>
      <c r="BC22" s="195">
        <f>IF(AE22=0,0,AW22/AE22)</f>
        <v/>
      </c>
      <c r="BD22" s="196">
        <f>IF(OR(AX22=0,AX22&lt;=-1),1,0)</f>
        <v/>
      </c>
      <c r="BE22" s="196">
        <f>IF(OR(AY22=0,AY22&lt;=-1),1,0)</f>
        <v/>
      </c>
      <c r="BF22" s="196">
        <f>IF(OR(AZ22=0,AZ22&lt;=-1),1,0)</f>
        <v/>
      </c>
      <c r="BG22" s="196">
        <f>IF(OR(BA22=0,BA22&lt;=-1),1,0)</f>
        <v/>
      </c>
      <c r="BH22" s="196">
        <f>IF(OR(BB22=0,BB22&lt;=-1),1,0)</f>
        <v/>
      </c>
      <c r="BI22" s="196">
        <f>IF(OR(BC22=0,BC22&lt;=-1),1,0)</f>
        <v/>
      </c>
      <c r="BJ22" s="197">
        <f>IF(AND('Brackets - prob'!B21&gt;H22-0.5,'Brackets - freq'!B21/'Brackets - prob'!B21&lt;N22/H22^2),1,0)</f>
        <v/>
      </c>
      <c r="BK22" s="197">
        <f>IF(AND('Brackets - prob'!C21&gt;I22-0.5,'Brackets - freq'!C21/'Brackets - prob'!C21&lt;O22/I22^2),1,0)</f>
        <v/>
      </c>
      <c r="BL22" s="197">
        <f>IF(AND('Brackets - prob'!D21&gt;J22-0.5,'Brackets - freq'!D21/'Brackets - prob'!D21&lt;P22/J22^2),1,0)</f>
        <v/>
      </c>
      <c r="BM22" s="197">
        <f>IF(AND('Brackets - prob'!E21&gt;K22-0.5,'Brackets - freq'!E21/'Brackets - prob'!E21&lt;Q22/K22^2),1,0)</f>
        <v/>
      </c>
      <c r="BN22" s="197">
        <f>IF(AND('Brackets - prob'!F21&gt;L22-0.5,'Brackets - freq'!F21/'Brackets - prob'!F21&lt;R22/L22^2),1,0)</f>
        <v/>
      </c>
      <c r="BO22" s="197">
        <f>IF(AND('Brackets - prob'!G21&gt;M22-0.5,'Brackets - freq'!G21/'Brackets - prob'!G21&lt;S22/M22^2),1,0)</f>
        <v/>
      </c>
    </row>
    <row r="23">
      <c r="A23" s="41" t="inlineStr">
        <is>
          <t>Marquette</t>
        </is>
      </c>
      <c r="B23" s="51">
        <f>SUMPRODUCT('Brackets - prob'!B22:B23,'Brackets - freq'!B22:B23)</f>
        <v/>
      </c>
      <c r="C23" s="51">
        <f>SUMPRODUCT('Brackets - prob'!C22:C25,'Brackets - freq'!C22:C25)</f>
        <v/>
      </c>
      <c r="D23" s="51">
        <f>D22</f>
        <v/>
      </c>
      <c r="E23" s="51">
        <f>E22</f>
        <v/>
      </c>
      <c r="F23" s="51">
        <f>F22</f>
        <v/>
      </c>
      <c r="G23" s="51">
        <f>G22</f>
        <v/>
      </c>
      <c r="H23" s="52">
        <f>MAX('Brackets - prob'!B22:B23)</f>
        <v/>
      </c>
      <c r="I23" s="52">
        <f>MAX('Brackets - prob'!C22:C25)</f>
        <v/>
      </c>
      <c r="J23" s="52">
        <f>J22</f>
        <v/>
      </c>
      <c r="K23" s="52">
        <f>K22</f>
        <v/>
      </c>
      <c r="L23" s="52">
        <f>L22</f>
        <v/>
      </c>
      <c r="M23" s="52">
        <f>M22</f>
        <v/>
      </c>
      <c r="N23" s="53">
        <f>AVERAGEIF('Brackets - prob'!B22:B23,"="&amp;H23,'Brackets - freq'!B22:B23)*H23</f>
        <v/>
      </c>
      <c r="O23" s="53">
        <f>AVERAGEIF('Brackets - prob'!C22:C25,"="&amp;I23,'Brackets - freq'!C22:C25)*I23</f>
        <v/>
      </c>
      <c r="P23" s="53">
        <f>P22</f>
        <v/>
      </c>
      <c r="Q23" s="53">
        <f>Q22</f>
        <v/>
      </c>
      <c r="R23" s="53">
        <f>R22</f>
        <v/>
      </c>
      <c r="S23" s="53">
        <f>S22</f>
        <v/>
      </c>
      <c r="T23" s="191">
        <f>Bracket!E$2*('Brackets - prob'!B22-H23)</f>
        <v/>
      </c>
      <c r="U23" s="191">
        <f>Bracket!F$2*('Brackets - prob'!C22-I23)</f>
        <v/>
      </c>
      <c r="V23" s="191">
        <f>Bracket!G$2*('Brackets - prob'!D22-J23)</f>
        <v/>
      </c>
      <c r="W23" s="191">
        <f>Bracket!H$2*('Brackets - prob'!E22-K23)</f>
        <v/>
      </c>
      <c r="X23" s="191">
        <f>Bracket!I$2*('Brackets - prob'!F22-L23)</f>
        <v/>
      </c>
      <c r="Y23" s="191">
        <f>Bracket!J$2*('Brackets - prob'!G22-M23)</f>
        <v/>
      </c>
      <c r="Z23" s="192">
        <f>SUM(T23:$T23)</f>
        <v/>
      </c>
      <c r="AA23" s="192">
        <f>SUM($T23:U23)</f>
        <v/>
      </c>
      <c r="AB23" s="192">
        <f>SUM($T23:V23)</f>
        <v/>
      </c>
      <c r="AC23" s="192">
        <f>SUM($T23:W23)</f>
        <v/>
      </c>
      <c r="AD23" s="192">
        <f>SUM($T23:X23)</f>
        <v/>
      </c>
      <c r="AE23" s="192">
        <f>SUM($T23:Y23)</f>
        <v/>
      </c>
      <c r="AF23" s="193">
        <f>'Brackets - prob'!B22*(1-'Brackets - prob'!B22-2*'Brackets - freq'!B22+2*B23)+B23-B23^2</f>
        <v/>
      </c>
      <c r="AG23" s="193">
        <f>'Brackets - prob'!C22*(1-'Brackets - prob'!C22-2*'Brackets - freq'!C22+2*C23)+C23-C23^2</f>
        <v/>
      </c>
      <c r="AH23" s="193">
        <f>'Brackets - prob'!D22*(1-'Brackets - prob'!D22-2*'Brackets - freq'!D22+2*D23)+D23-D23^2</f>
        <v/>
      </c>
      <c r="AI23" s="193">
        <f>'Brackets - prob'!E22*(1-'Brackets - prob'!E22-2*'Brackets - freq'!E22+2*E23)+E23-E23^2</f>
        <v/>
      </c>
      <c r="AJ23" s="193">
        <f>'Brackets - prob'!F22*(1-'Brackets - prob'!F22-2*'Brackets - freq'!F22+2*F23)+F23-F23^2</f>
        <v/>
      </c>
      <c r="AK23" s="193">
        <f>'Brackets - prob'!G22*(1-'Brackets - prob'!G22-2*'Brackets - freq'!G22+2*G23)+G23-G23^2</f>
        <v/>
      </c>
      <c r="AL23" s="194">
        <f>Bracket!E$2^2*(('Brackets - prob'!B22-H23)*(1+2*B23)-'Brackets - prob'!B22^2+H23^2-2*('Brackets - prob'!B22*'Brackets - freq'!B22-N23))</f>
        <v/>
      </c>
      <c r="AM23" s="194">
        <f>Bracket!F$2^2*(('Brackets - prob'!C22-I23)*(1+2*C23)-'Brackets - prob'!C22^2+I23^2-2*('Brackets - prob'!C22*'Brackets - freq'!C22-O23))</f>
        <v/>
      </c>
      <c r="AN23" s="194">
        <f>Bracket!G$2^2*(('Brackets - prob'!D22-J23)*(1+2*D23)-'Brackets - prob'!D22^2+J23^2-2*('Brackets - prob'!D22*'Brackets - freq'!D22-P23))</f>
        <v/>
      </c>
      <c r="AO23" s="194">
        <f>Bracket!H$2^2*(('Brackets - prob'!E22-K23)*(1+2*E23)-'Brackets - prob'!E22^2+K23^2-2*('Brackets - prob'!E22*'Brackets - freq'!E22-Q23))</f>
        <v/>
      </c>
      <c r="AP23" s="194">
        <f>Bracket!I$2^2*(('Brackets - prob'!F22-L23)*(1+2*F23)-'Brackets - prob'!F22^2+L23^2-2*('Brackets - prob'!F22*'Brackets - freq'!F22-R23))</f>
        <v/>
      </c>
      <c r="AQ23" s="194">
        <f>Bracket!J$2^2*(('Brackets - prob'!G22-M23)*(1+2*G23)-'Brackets - prob'!G22^2+M23^2-2*('Brackets - prob'!G22*'Brackets - freq'!G22-S23))</f>
        <v/>
      </c>
      <c r="AR23" s="192">
        <f>SUM($AL23:AL23)</f>
        <v/>
      </c>
      <c r="AS23" s="192">
        <f>SUM($AL23:AM23)</f>
        <v/>
      </c>
      <c r="AT23" s="192">
        <f>SUM($AL23:AN23)</f>
        <v/>
      </c>
      <c r="AU23" s="192">
        <f>SUM($AL23:AO23)</f>
        <v/>
      </c>
      <c r="AV23" s="192">
        <f>SUM($AL23:AP23)</f>
        <v/>
      </c>
      <c r="AW23" s="192">
        <f>SUM($AL23:AQ23)</f>
        <v/>
      </c>
      <c r="AX23" s="195">
        <f>IF(Z23=0,0,AR23/Z23)</f>
        <v/>
      </c>
      <c r="AY23" s="195">
        <f>IF(AA23=0,0,AS23/AA23)</f>
        <v/>
      </c>
      <c r="AZ23" s="195">
        <f>IF(AB23=0,0,AT23/AB23)</f>
        <v/>
      </c>
      <c r="BA23" s="195">
        <f>IF(AC23=0,0,AU23/AC23)</f>
        <v/>
      </c>
      <c r="BB23" s="195">
        <f>IF(AD23=0,0,AV23/AD23)</f>
        <v/>
      </c>
      <c r="BC23" s="195">
        <f>IF(AE23=0,0,AW23/AE23)</f>
        <v/>
      </c>
      <c r="BD23" s="196">
        <f>IF(OR(AX23=0,AX23&lt;=-1),1,0)</f>
        <v/>
      </c>
      <c r="BE23" s="196">
        <f>IF(OR(AY23=0,AY23&lt;=-1),1,0)</f>
        <v/>
      </c>
      <c r="BF23" s="196">
        <f>IF(OR(AZ23=0,AZ23&lt;=-1),1,0)</f>
        <v/>
      </c>
      <c r="BG23" s="196">
        <f>IF(OR(BA23=0,BA23&lt;=-1),1,0)</f>
        <v/>
      </c>
      <c r="BH23" s="196">
        <f>IF(OR(BB23=0,BB23&lt;=-1),1,0)</f>
        <v/>
      </c>
      <c r="BI23" s="196">
        <f>IF(OR(BC23=0,BC23&lt;=-1),1,0)</f>
        <v/>
      </c>
      <c r="BJ23" s="197">
        <f>IF(AND('Brackets - prob'!B22&gt;H23-0.5,'Brackets - freq'!B22/'Brackets - prob'!B22&lt;N23/H23^2),1,0)</f>
        <v/>
      </c>
      <c r="BK23" s="197">
        <f>IF(AND('Brackets - prob'!C22&gt;I23-0.5,'Brackets - freq'!C22/'Brackets - prob'!C22&lt;O23/I23^2),1,0)</f>
        <v/>
      </c>
      <c r="BL23" s="197">
        <f>IF(AND('Brackets - prob'!D22&gt;J23-0.5,'Brackets - freq'!D22/'Brackets - prob'!D22&lt;P23/J23^2),1,0)</f>
        <v/>
      </c>
      <c r="BM23" s="197">
        <f>IF(AND('Brackets - prob'!E22&gt;K23-0.5,'Brackets - freq'!E22/'Brackets - prob'!E22&lt;Q23/K23^2),1,0)</f>
        <v/>
      </c>
      <c r="BN23" s="197">
        <f>IF(AND('Brackets - prob'!F22&gt;L23-0.5,'Brackets - freq'!F22/'Brackets - prob'!F22&lt;R23/L23^2),1,0)</f>
        <v/>
      </c>
      <c r="BO23" s="197">
        <f>IF(AND('Brackets - prob'!G22&gt;M23-0.5,'Brackets - freq'!G22/'Brackets - prob'!G22&lt;S23/M23^2),1,0)</f>
        <v/>
      </c>
    </row>
    <row r="24">
      <c r="A24" s="41" t="inlineStr">
        <is>
          <t>Murray State</t>
        </is>
      </c>
      <c r="B24" s="51">
        <f>B23</f>
        <v/>
      </c>
      <c r="C24" s="51">
        <f>C23</f>
        <v/>
      </c>
      <c r="D24" s="51">
        <f>D23</f>
        <v/>
      </c>
      <c r="E24" s="51">
        <f>E23</f>
        <v/>
      </c>
      <c r="F24" s="51">
        <f>F23</f>
        <v/>
      </c>
      <c r="G24" s="51">
        <f>G23</f>
        <v/>
      </c>
      <c r="H24" s="52">
        <f>H23</f>
        <v/>
      </c>
      <c r="I24" s="52">
        <f>I23</f>
        <v/>
      </c>
      <c r="J24" s="52">
        <f>J23</f>
        <v/>
      </c>
      <c r="K24" s="52">
        <f>K23</f>
        <v/>
      </c>
      <c r="L24" s="52">
        <f>L23</f>
        <v/>
      </c>
      <c r="M24" s="52">
        <f>M23</f>
        <v/>
      </c>
      <c r="N24" s="53">
        <f>N23</f>
        <v/>
      </c>
      <c r="O24" s="53">
        <f>O23</f>
        <v/>
      </c>
      <c r="P24" s="53">
        <f>P23</f>
        <v/>
      </c>
      <c r="Q24" s="53">
        <f>Q23</f>
        <v/>
      </c>
      <c r="R24" s="53">
        <f>R23</f>
        <v/>
      </c>
      <c r="S24" s="53">
        <f>S23</f>
        <v/>
      </c>
      <c r="T24" s="191">
        <f>Bracket!E$2*('Brackets - prob'!B23-H24)</f>
        <v/>
      </c>
      <c r="U24" s="191">
        <f>Bracket!F$2*('Brackets - prob'!C23-I24)</f>
        <v/>
      </c>
      <c r="V24" s="191">
        <f>Bracket!G$2*('Brackets - prob'!D23-J24)</f>
        <v/>
      </c>
      <c r="W24" s="191">
        <f>Bracket!H$2*('Brackets - prob'!E23-K24)</f>
        <v/>
      </c>
      <c r="X24" s="191">
        <f>Bracket!I$2*('Brackets - prob'!F23-L24)</f>
        <v/>
      </c>
      <c r="Y24" s="191">
        <f>Bracket!J$2*('Brackets - prob'!G23-M24)</f>
        <v/>
      </c>
      <c r="Z24" s="192">
        <f>SUM(T24:$T24)</f>
        <v/>
      </c>
      <c r="AA24" s="192">
        <f>SUM($T24:U24)</f>
        <v/>
      </c>
      <c r="AB24" s="192">
        <f>SUM($T24:V24)</f>
        <v/>
      </c>
      <c r="AC24" s="192">
        <f>SUM($T24:W24)</f>
        <v/>
      </c>
      <c r="AD24" s="192">
        <f>SUM($T24:X24)</f>
        <v/>
      </c>
      <c r="AE24" s="192">
        <f>SUM($T24:Y24)</f>
        <v/>
      </c>
      <c r="AF24" s="193">
        <f>'Brackets - prob'!B23*(1-'Brackets - prob'!B23-2*'Brackets - freq'!B23+2*B24)+B24-B24^2</f>
        <v/>
      </c>
      <c r="AG24" s="193">
        <f>'Brackets - prob'!C23*(1-'Brackets - prob'!C23-2*'Brackets - freq'!C23+2*C24)+C24-C24^2</f>
        <v/>
      </c>
      <c r="AH24" s="193">
        <f>'Brackets - prob'!D23*(1-'Brackets - prob'!D23-2*'Brackets - freq'!D23+2*D24)+D24-D24^2</f>
        <v/>
      </c>
      <c r="AI24" s="193">
        <f>'Brackets - prob'!E23*(1-'Brackets - prob'!E23-2*'Brackets - freq'!E23+2*E24)+E24-E24^2</f>
        <v/>
      </c>
      <c r="AJ24" s="193">
        <f>'Brackets - prob'!F23*(1-'Brackets - prob'!F23-2*'Brackets - freq'!F23+2*F24)+F24-F24^2</f>
        <v/>
      </c>
      <c r="AK24" s="193">
        <f>'Brackets - prob'!G23*(1-'Brackets - prob'!G23-2*'Brackets - freq'!G23+2*G24)+G24-G24^2</f>
        <v/>
      </c>
      <c r="AL24" s="194">
        <f>Bracket!E$2^2*(('Brackets - prob'!B23-H24)*(1+2*B24)-'Brackets - prob'!B23^2+H24^2-2*('Brackets - prob'!B23*'Brackets - freq'!B23-N24))</f>
        <v/>
      </c>
      <c r="AM24" s="194">
        <f>Bracket!F$2^2*(('Brackets - prob'!C23-I24)*(1+2*C24)-'Brackets - prob'!C23^2+I24^2-2*('Brackets - prob'!C23*'Brackets - freq'!C23-O24))</f>
        <v/>
      </c>
      <c r="AN24" s="194">
        <f>Bracket!G$2^2*(('Brackets - prob'!D23-J24)*(1+2*D24)-'Brackets - prob'!D23^2+J24^2-2*('Brackets - prob'!D23*'Brackets - freq'!D23-P24))</f>
        <v/>
      </c>
      <c r="AO24" s="194">
        <f>Bracket!H$2^2*(('Brackets - prob'!E23-K24)*(1+2*E24)-'Brackets - prob'!E23^2+K24^2-2*('Brackets - prob'!E23*'Brackets - freq'!E23-Q24))</f>
        <v/>
      </c>
      <c r="AP24" s="194">
        <f>Bracket!I$2^2*(('Brackets - prob'!F23-L24)*(1+2*F24)-'Brackets - prob'!F23^2+L24^2-2*('Brackets - prob'!F23*'Brackets - freq'!F23-R24))</f>
        <v/>
      </c>
      <c r="AQ24" s="194">
        <f>Bracket!J$2^2*(('Brackets - prob'!G23-M24)*(1+2*G24)-'Brackets - prob'!G23^2+M24^2-2*('Brackets - prob'!G23*'Brackets - freq'!G23-S24))</f>
        <v/>
      </c>
      <c r="AR24" s="192">
        <f>SUM($AL24:AL24)</f>
        <v/>
      </c>
      <c r="AS24" s="192">
        <f>SUM($AL24:AM24)</f>
        <v/>
      </c>
      <c r="AT24" s="192">
        <f>SUM($AL24:AN24)</f>
        <v/>
      </c>
      <c r="AU24" s="192">
        <f>SUM($AL24:AO24)</f>
        <v/>
      </c>
      <c r="AV24" s="192">
        <f>SUM($AL24:AP24)</f>
        <v/>
      </c>
      <c r="AW24" s="192">
        <f>SUM($AL24:AQ24)</f>
        <v/>
      </c>
      <c r="AX24" s="195">
        <f>IF(Z24=0,0,AR24/Z24)</f>
        <v/>
      </c>
      <c r="AY24" s="195">
        <f>IF(AA24=0,0,AS24/AA24)</f>
        <v/>
      </c>
      <c r="AZ24" s="195">
        <f>IF(AB24=0,0,AT24/AB24)</f>
        <v/>
      </c>
      <c r="BA24" s="195">
        <f>IF(AC24=0,0,AU24/AC24)</f>
        <v/>
      </c>
      <c r="BB24" s="195">
        <f>IF(AD24=0,0,AV24/AD24)</f>
        <v/>
      </c>
      <c r="BC24" s="195">
        <f>IF(AE24=0,0,AW24/AE24)</f>
        <v/>
      </c>
      <c r="BD24" s="196">
        <f>IF(OR(AX24=0,AX24&lt;=-1),1,0)</f>
        <v/>
      </c>
      <c r="BE24" s="196">
        <f>IF(OR(AY24=0,AY24&lt;=-1),1,0)</f>
        <v/>
      </c>
      <c r="BF24" s="196">
        <f>IF(OR(AZ24=0,AZ24&lt;=-1),1,0)</f>
        <v/>
      </c>
      <c r="BG24" s="196">
        <f>IF(OR(BA24=0,BA24&lt;=-1),1,0)</f>
        <v/>
      </c>
      <c r="BH24" s="196">
        <f>IF(OR(BB24=0,BB24&lt;=-1),1,0)</f>
        <v/>
      </c>
      <c r="BI24" s="196">
        <f>IF(OR(BC24=0,BC24&lt;=-1),1,0)</f>
        <v/>
      </c>
      <c r="BJ24" s="197">
        <f>IF(AND('Brackets - prob'!B23&gt;H24-0.5,'Brackets - freq'!B23/'Brackets - prob'!B23&lt;N24/H24^2),1,0)</f>
        <v/>
      </c>
      <c r="BK24" s="197">
        <f>IF(AND('Brackets - prob'!C23&gt;I24-0.5,'Brackets - freq'!C23/'Brackets - prob'!C23&lt;O24/I24^2),1,0)</f>
        <v/>
      </c>
      <c r="BL24" s="197">
        <f>IF(AND('Brackets - prob'!D23&gt;J24-0.5,'Brackets - freq'!D23/'Brackets - prob'!D23&lt;P24/J24^2),1,0)</f>
        <v/>
      </c>
      <c r="BM24" s="197">
        <f>IF(AND('Brackets - prob'!E23&gt;K24-0.5,'Brackets - freq'!E23/'Brackets - prob'!E23&lt;Q24/K24^2),1,0)</f>
        <v/>
      </c>
      <c r="BN24" s="197">
        <f>IF(AND('Brackets - prob'!F23&gt;L24-0.5,'Brackets - freq'!F23/'Brackets - prob'!F23&lt;R24/L24^2),1,0)</f>
        <v/>
      </c>
      <c r="BO24" s="197">
        <f>IF(AND('Brackets - prob'!G23&gt;M24-0.5,'Brackets - freq'!G23/'Brackets - prob'!G23&lt;S24/M24^2),1,0)</f>
        <v/>
      </c>
    </row>
    <row r="25">
      <c r="A25" s="41" t="inlineStr">
        <is>
          <t>Florida State</t>
        </is>
      </c>
      <c r="B25" s="51">
        <f>SUMPRODUCT('Brackets - prob'!B24:B25,'Brackets - freq'!B24:B25)</f>
        <v/>
      </c>
      <c r="C25" s="51">
        <f>C24</f>
        <v/>
      </c>
      <c r="D25" s="51">
        <f>D24</f>
        <v/>
      </c>
      <c r="E25" s="51">
        <f>E24</f>
        <v/>
      </c>
      <c r="F25" s="51">
        <f>F24</f>
        <v/>
      </c>
      <c r="G25" s="51">
        <f>G24</f>
        <v/>
      </c>
      <c r="H25" s="52">
        <f>MAX('Brackets - prob'!B24:B25)</f>
        <v/>
      </c>
      <c r="I25" s="52">
        <f>I24</f>
        <v/>
      </c>
      <c r="J25" s="52">
        <f>J24</f>
        <v/>
      </c>
      <c r="K25" s="52">
        <f>K24</f>
        <v/>
      </c>
      <c r="L25" s="52">
        <f>L24</f>
        <v/>
      </c>
      <c r="M25" s="52">
        <f>M24</f>
        <v/>
      </c>
      <c r="N25" s="53">
        <f>AVERAGEIF('Brackets - prob'!B24:B25,"="&amp;H25,'Brackets - freq'!B24:B25)*H25</f>
        <v/>
      </c>
      <c r="O25" s="53">
        <f>O24</f>
        <v/>
      </c>
      <c r="P25" s="53">
        <f>P24</f>
        <v/>
      </c>
      <c r="Q25" s="53">
        <f>Q24</f>
        <v/>
      </c>
      <c r="R25" s="53">
        <f>R24</f>
        <v/>
      </c>
      <c r="S25" s="53">
        <f>S24</f>
        <v/>
      </c>
      <c r="T25" s="191">
        <f>Bracket!E$2*('Brackets - prob'!B24-H25)</f>
        <v/>
      </c>
      <c r="U25" s="191">
        <f>Bracket!F$2*('Brackets - prob'!C24-I25)</f>
        <v/>
      </c>
      <c r="V25" s="191">
        <f>Bracket!G$2*('Brackets - prob'!D24-J25)</f>
        <v/>
      </c>
      <c r="W25" s="191">
        <f>Bracket!H$2*('Brackets - prob'!E24-K25)</f>
        <v/>
      </c>
      <c r="X25" s="191">
        <f>Bracket!I$2*('Brackets - prob'!F24-L25)</f>
        <v/>
      </c>
      <c r="Y25" s="191">
        <f>Bracket!J$2*('Brackets - prob'!G24-M25)</f>
        <v/>
      </c>
      <c r="Z25" s="192">
        <f>SUM(T25:$T25)</f>
        <v/>
      </c>
      <c r="AA25" s="192">
        <f>SUM($T25:U25)</f>
        <v/>
      </c>
      <c r="AB25" s="192">
        <f>SUM($T25:V25)</f>
        <v/>
      </c>
      <c r="AC25" s="192">
        <f>SUM($T25:W25)</f>
        <v/>
      </c>
      <c r="AD25" s="192">
        <f>SUM($T25:X25)</f>
        <v/>
      </c>
      <c r="AE25" s="192">
        <f>SUM($T25:Y25)</f>
        <v/>
      </c>
      <c r="AF25" s="193">
        <f>'Brackets - prob'!B24*(1-'Brackets - prob'!B24-2*'Brackets - freq'!B24+2*B25)+B25-B25^2</f>
        <v/>
      </c>
      <c r="AG25" s="193">
        <f>'Brackets - prob'!C24*(1-'Brackets - prob'!C24-2*'Brackets - freq'!C24+2*C25)+C25-C25^2</f>
        <v/>
      </c>
      <c r="AH25" s="193">
        <f>'Brackets - prob'!D24*(1-'Brackets - prob'!D24-2*'Brackets - freq'!D24+2*D25)+D25-D25^2</f>
        <v/>
      </c>
      <c r="AI25" s="193">
        <f>'Brackets - prob'!E24*(1-'Brackets - prob'!E24-2*'Brackets - freq'!E24+2*E25)+E25-E25^2</f>
        <v/>
      </c>
      <c r="AJ25" s="193">
        <f>'Brackets - prob'!F24*(1-'Brackets - prob'!F24-2*'Brackets - freq'!F24+2*F25)+F25-F25^2</f>
        <v/>
      </c>
      <c r="AK25" s="193">
        <f>'Brackets - prob'!G24*(1-'Brackets - prob'!G24-2*'Brackets - freq'!G24+2*G25)+G25-G25^2</f>
        <v/>
      </c>
      <c r="AL25" s="194">
        <f>Bracket!E$2^2*(('Brackets - prob'!B24-H25)*(1+2*B25)-'Brackets - prob'!B24^2+H25^2-2*('Brackets - prob'!B24*'Brackets - freq'!B24-N25))</f>
        <v/>
      </c>
      <c r="AM25" s="194">
        <f>Bracket!F$2^2*(('Brackets - prob'!C24-I25)*(1+2*C25)-'Brackets - prob'!C24^2+I25^2-2*('Brackets - prob'!C24*'Brackets - freq'!C24-O25))</f>
        <v/>
      </c>
      <c r="AN25" s="194">
        <f>Bracket!G$2^2*(('Brackets - prob'!D24-J25)*(1+2*D25)-'Brackets - prob'!D24^2+J25^2-2*('Brackets - prob'!D24*'Brackets - freq'!D24-P25))</f>
        <v/>
      </c>
      <c r="AO25" s="194">
        <f>Bracket!H$2^2*(('Brackets - prob'!E24-K25)*(1+2*E25)-'Brackets - prob'!E24^2+K25^2-2*('Brackets - prob'!E24*'Brackets - freq'!E24-Q25))</f>
        <v/>
      </c>
      <c r="AP25" s="194">
        <f>Bracket!I$2^2*(('Brackets - prob'!F24-L25)*(1+2*F25)-'Brackets - prob'!F24^2+L25^2-2*('Brackets - prob'!F24*'Brackets - freq'!F24-R25))</f>
        <v/>
      </c>
      <c r="AQ25" s="194">
        <f>Bracket!J$2^2*(('Brackets - prob'!G24-M25)*(1+2*G25)-'Brackets - prob'!G24^2+M25^2-2*('Brackets - prob'!G24*'Brackets - freq'!G24-S25))</f>
        <v/>
      </c>
      <c r="AR25" s="192">
        <f>SUM($AL25:AL25)</f>
        <v/>
      </c>
      <c r="AS25" s="192">
        <f>SUM($AL25:AM25)</f>
        <v/>
      </c>
      <c r="AT25" s="192">
        <f>SUM($AL25:AN25)</f>
        <v/>
      </c>
      <c r="AU25" s="192">
        <f>SUM($AL25:AO25)</f>
        <v/>
      </c>
      <c r="AV25" s="192">
        <f>SUM($AL25:AP25)</f>
        <v/>
      </c>
      <c r="AW25" s="192">
        <f>SUM($AL25:AQ25)</f>
        <v/>
      </c>
      <c r="AX25" s="195">
        <f>IF(Z25=0,0,AR25/Z25)</f>
        <v/>
      </c>
      <c r="AY25" s="195">
        <f>IF(AA25=0,0,AS25/AA25)</f>
        <v/>
      </c>
      <c r="AZ25" s="195">
        <f>IF(AB25=0,0,AT25/AB25)</f>
        <v/>
      </c>
      <c r="BA25" s="195">
        <f>IF(AC25=0,0,AU25/AC25)</f>
        <v/>
      </c>
      <c r="BB25" s="195">
        <f>IF(AD25=0,0,AV25/AD25)</f>
        <v/>
      </c>
      <c r="BC25" s="195">
        <f>IF(AE25=0,0,AW25/AE25)</f>
        <v/>
      </c>
      <c r="BD25" s="196">
        <f>IF(OR(AX25=0,AX25&lt;=-1),1,0)</f>
        <v/>
      </c>
      <c r="BE25" s="196">
        <f>IF(OR(AY25=0,AY25&lt;=-1),1,0)</f>
        <v/>
      </c>
      <c r="BF25" s="196">
        <f>IF(OR(AZ25=0,AZ25&lt;=-1),1,0)</f>
        <v/>
      </c>
      <c r="BG25" s="196">
        <f>IF(OR(BA25=0,BA25&lt;=-1),1,0)</f>
        <v/>
      </c>
      <c r="BH25" s="196">
        <f>IF(OR(BB25=0,BB25&lt;=-1),1,0)</f>
        <v/>
      </c>
      <c r="BI25" s="196">
        <f>IF(OR(BC25=0,BC25&lt;=-1),1,0)</f>
        <v/>
      </c>
      <c r="BJ25" s="197">
        <f>IF(AND('Brackets - prob'!B24&gt;H25-0.5,'Brackets - freq'!B24/'Brackets - prob'!B24&lt;N25/H25^2),1,0)</f>
        <v/>
      </c>
      <c r="BK25" s="197">
        <f>IF(AND('Brackets - prob'!C24&gt;I25-0.5,'Brackets - freq'!C24/'Brackets - prob'!C24&lt;O25/I25^2),1,0)</f>
        <v/>
      </c>
      <c r="BL25" s="197">
        <f>IF(AND('Brackets - prob'!D24&gt;J25-0.5,'Brackets - freq'!D24/'Brackets - prob'!D24&lt;P25/J25^2),1,0)</f>
        <v/>
      </c>
      <c r="BM25" s="197">
        <f>IF(AND('Brackets - prob'!E24&gt;K25-0.5,'Brackets - freq'!E24/'Brackets - prob'!E24&lt;Q25/K25^2),1,0)</f>
        <v/>
      </c>
      <c r="BN25" s="197">
        <f>IF(AND('Brackets - prob'!F24&gt;L25-0.5,'Brackets - freq'!F24/'Brackets - prob'!F24&lt;R25/L25^2),1,0)</f>
        <v/>
      </c>
      <c r="BO25" s="197">
        <f>IF(AND('Brackets - prob'!G24&gt;M25-0.5,'Brackets - freq'!G24/'Brackets - prob'!G24&lt;S25/M25^2),1,0)</f>
        <v/>
      </c>
    </row>
    <row r="26">
      <c r="A26" s="41" t="inlineStr">
        <is>
          <t>Vermont</t>
        </is>
      </c>
      <c r="B26" s="51">
        <f>B25</f>
        <v/>
      </c>
      <c r="C26" s="51">
        <f>C25</f>
        <v/>
      </c>
      <c r="D26" s="51">
        <f>D25</f>
        <v/>
      </c>
      <c r="E26" s="51">
        <f>E25</f>
        <v/>
      </c>
      <c r="F26" s="51">
        <f>F25</f>
        <v/>
      </c>
      <c r="G26" s="51">
        <f>G25</f>
        <v/>
      </c>
      <c r="H26" s="52">
        <f>H25</f>
        <v/>
      </c>
      <c r="I26" s="52">
        <f>I25</f>
        <v/>
      </c>
      <c r="J26" s="52">
        <f>J25</f>
        <v/>
      </c>
      <c r="K26" s="52">
        <f>K25</f>
        <v/>
      </c>
      <c r="L26" s="52">
        <f>L25</f>
        <v/>
      </c>
      <c r="M26" s="52">
        <f>M25</f>
        <v/>
      </c>
      <c r="N26" s="53">
        <f>N25</f>
        <v/>
      </c>
      <c r="O26" s="53">
        <f>O25</f>
        <v/>
      </c>
      <c r="P26" s="53">
        <f>P25</f>
        <v/>
      </c>
      <c r="Q26" s="53">
        <f>Q25</f>
        <v/>
      </c>
      <c r="R26" s="53">
        <f>R25</f>
        <v/>
      </c>
      <c r="S26" s="53">
        <f>S25</f>
        <v/>
      </c>
      <c r="T26" s="191">
        <f>Bracket!E$2*('Brackets - prob'!B25-H26)</f>
        <v/>
      </c>
      <c r="U26" s="191">
        <f>Bracket!F$2*('Brackets - prob'!C25-I26)</f>
        <v/>
      </c>
      <c r="V26" s="191">
        <f>Bracket!G$2*('Brackets - prob'!D25-J26)</f>
        <v/>
      </c>
      <c r="W26" s="191">
        <f>Bracket!H$2*('Brackets - prob'!E25-K26)</f>
        <v/>
      </c>
      <c r="X26" s="191">
        <f>Bracket!I$2*('Brackets - prob'!F25-L26)</f>
        <v/>
      </c>
      <c r="Y26" s="191">
        <f>Bracket!J$2*('Brackets - prob'!G25-M26)</f>
        <v/>
      </c>
      <c r="Z26" s="192">
        <f>SUM(T26:$T26)</f>
        <v/>
      </c>
      <c r="AA26" s="192">
        <f>SUM($T26:U26)</f>
        <v/>
      </c>
      <c r="AB26" s="192">
        <f>SUM($T26:V26)</f>
        <v/>
      </c>
      <c r="AC26" s="192">
        <f>SUM($T26:W26)</f>
        <v/>
      </c>
      <c r="AD26" s="192">
        <f>SUM($T26:X26)</f>
        <v/>
      </c>
      <c r="AE26" s="192">
        <f>SUM($T26:Y26)</f>
        <v/>
      </c>
      <c r="AF26" s="193">
        <f>'Brackets - prob'!B25*(1-'Brackets - prob'!B25-2*'Brackets - freq'!B25+2*B26)+B26-B26^2</f>
        <v/>
      </c>
      <c r="AG26" s="193">
        <f>'Brackets - prob'!C25*(1-'Brackets - prob'!C25-2*'Brackets - freq'!C25+2*C26)+C26-C26^2</f>
        <v/>
      </c>
      <c r="AH26" s="193">
        <f>'Brackets - prob'!D25*(1-'Brackets - prob'!D25-2*'Brackets - freq'!D25+2*D26)+D26-D26^2</f>
        <v/>
      </c>
      <c r="AI26" s="193">
        <f>'Brackets - prob'!E25*(1-'Brackets - prob'!E25-2*'Brackets - freq'!E25+2*E26)+E26-E26^2</f>
        <v/>
      </c>
      <c r="AJ26" s="193">
        <f>'Brackets - prob'!F25*(1-'Brackets - prob'!F25-2*'Brackets - freq'!F25+2*F26)+F26-F26^2</f>
        <v/>
      </c>
      <c r="AK26" s="193">
        <f>'Brackets - prob'!G25*(1-'Brackets - prob'!G25-2*'Brackets - freq'!G25+2*G26)+G26-G26^2</f>
        <v/>
      </c>
      <c r="AL26" s="194">
        <f>Bracket!E$2^2*(('Brackets - prob'!B25-H26)*(1+2*B26)-'Brackets - prob'!B25^2+H26^2-2*('Brackets - prob'!B25*'Brackets - freq'!B25-N26))</f>
        <v/>
      </c>
      <c r="AM26" s="194">
        <f>Bracket!F$2^2*(('Brackets - prob'!C25-I26)*(1+2*C26)-'Brackets - prob'!C25^2+I26^2-2*('Brackets - prob'!C25*'Brackets - freq'!C25-O26))</f>
        <v/>
      </c>
      <c r="AN26" s="194">
        <f>Bracket!G$2^2*(('Brackets - prob'!D25-J26)*(1+2*D26)-'Brackets - prob'!D25^2+J26^2-2*('Brackets - prob'!D25*'Brackets - freq'!D25-P26))</f>
        <v/>
      </c>
      <c r="AO26" s="194">
        <f>Bracket!H$2^2*(('Brackets - prob'!E25-K26)*(1+2*E26)-'Brackets - prob'!E25^2+K26^2-2*('Brackets - prob'!E25*'Brackets - freq'!E25-Q26))</f>
        <v/>
      </c>
      <c r="AP26" s="194">
        <f>Bracket!I$2^2*(('Brackets - prob'!F25-L26)*(1+2*F26)-'Brackets - prob'!F25^2+L26^2-2*('Brackets - prob'!F25*'Brackets - freq'!F25-R26))</f>
        <v/>
      </c>
      <c r="AQ26" s="194">
        <f>Bracket!J$2^2*(('Brackets - prob'!G25-M26)*(1+2*G26)-'Brackets - prob'!G25^2+M26^2-2*('Brackets - prob'!G25*'Brackets - freq'!G25-S26))</f>
        <v/>
      </c>
      <c r="AR26" s="192">
        <f>SUM($AL26:AL26)</f>
        <v/>
      </c>
      <c r="AS26" s="192">
        <f>SUM($AL26:AM26)</f>
        <v/>
      </c>
      <c r="AT26" s="192">
        <f>SUM($AL26:AN26)</f>
        <v/>
      </c>
      <c r="AU26" s="192">
        <f>SUM($AL26:AO26)</f>
        <v/>
      </c>
      <c r="AV26" s="192">
        <f>SUM($AL26:AP26)</f>
        <v/>
      </c>
      <c r="AW26" s="192">
        <f>SUM($AL26:AQ26)</f>
        <v/>
      </c>
      <c r="AX26" s="195">
        <f>IF(Z26=0,0,AR26/Z26)</f>
        <v/>
      </c>
      <c r="AY26" s="195">
        <f>IF(AA26=0,0,AS26/AA26)</f>
        <v/>
      </c>
      <c r="AZ26" s="195">
        <f>IF(AB26=0,0,AT26/AB26)</f>
        <v/>
      </c>
      <c r="BA26" s="195">
        <f>IF(AC26=0,0,AU26/AC26)</f>
        <v/>
      </c>
      <c r="BB26" s="195">
        <f>IF(AD26=0,0,AV26/AD26)</f>
        <v/>
      </c>
      <c r="BC26" s="195">
        <f>IF(AE26=0,0,AW26/AE26)</f>
        <v/>
      </c>
      <c r="BD26" s="196">
        <f>IF(OR(AX26=0,AX26&lt;=-1),1,0)</f>
        <v/>
      </c>
      <c r="BE26" s="196">
        <f>IF(OR(AY26=0,AY26&lt;=-1),1,0)</f>
        <v/>
      </c>
      <c r="BF26" s="196">
        <f>IF(OR(AZ26=0,AZ26&lt;=-1),1,0)</f>
        <v/>
      </c>
      <c r="BG26" s="196">
        <f>IF(OR(BA26=0,BA26&lt;=-1),1,0)</f>
        <v/>
      </c>
      <c r="BH26" s="196">
        <f>IF(OR(BB26=0,BB26&lt;=-1),1,0)</f>
        <v/>
      </c>
      <c r="BI26" s="196">
        <f>IF(OR(BC26=0,BC26&lt;=-1),1,0)</f>
        <v/>
      </c>
      <c r="BJ26" s="197">
        <f>IF(AND('Brackets - prob'!B25&gt;H26-0.5,'Brackets - freq'!B25/'Brackets - prob'!B25&lt;N26/H26^2),1,0)</f>
        <v/>
      </c>
      <c r="BK26" s="197">
        <f>IF(AND('Brackets - prob'!C25&gt;I26-0.5,'Brackets - freq'!C25/'Brackets - prob'!C25&lt;O26/I26^2),1,0)</f>
        <v/>
      </c>
      <c r="BL26" s="197">
        <f>IF(AND('Brackets - prob'!D25&gt;J26-0.5,'Brackets - freq'!D25/'Brackets - prob'!D25&lt;P26/J26^2),1,0)</f>
        <v/>
      </c>
      <c r="BM26" s="197">
        <f>IF(AND('Brackets - prob'!E25&gt;K26-0.5,'Brackets - freq'!E25/'Brackets - prob'!E25&lt;Q26/K26^2),1,0)</f>
        <v/>
      </c>
      <c r="BN26" s="197">
        <f>IF(AND('Brackets - prob'!F25&gt;L26-0.5,'Brackets - freq'!F25/'Brackets - prob'!F25&lt;R26/L26^2),1,0)</f>
        <v/>
      </c>
      <c r="BO26" s="197">
        <f>IF(AND('Brackets - prob'!G25&gt;M26-0.5,'Brackets - freq'!G25/'Brackets - prob'!G25&lt;S26/M26^2),1,0)</f>
        <v/>
      </c>
    </row>
    <row r="27">
      <c r="A27" s="41" t="inlineStr">
        <is>
          <t>Buffalo</t>
        </is>
      </c>
      <c r="B27" s="51">
        <f>SUMPRODUCT('Brackets - prob'!B26:B27,'Brackets - freq'!B26:B27)</f>
        <v/>
      </c>
      <c r="C27" s="51">
        <f>SUMPRODUCT('Brackets - prob'!C26:C29,'Brackets - freq'!C26:C29)</f>
        <v/>
      </c>
      <c r="D27" s="51">
        <f>SUMPRODUCT('Brackets - prob'!D26:D33,'Brackets - freq'!D26:D33)</f>
        <v/>
      </c>
      <c r="E27" s="51">
        <f>E26</f>
        <v/>
      </c>
      <c r="F27" s="51">
        <f>F26</f>
        <v/>
      </c>
      <c r="G27" s="51">
        <f>G26</f>
        <v/>
      </c>
      <c r="H27" s="52">
        <f>MAX('Brackets - prob'!B26:B27)</f>
        <v/>
      </c>
      <c r="I27" s="52">
        <f>MAX('Brackets - prob'!C26:C29)</f>
        <v/>
      </c>
      <c r="J27" s="52">
        <f>MAX('Brackets - prob'!D26:D33)</f>
        <v/>
      </c>
      <c r="K27" s="52">
        <f>K26</f>
        <v/>
      </c>
      <c r="L27" s="52">
        <f>L26</f>
        <v/>
      </c>
      <c r="M27" s="52">
        <f>M26</f>
        <v/>
      </c>
      <c r="N27" s="53">
        <f>AVERAGEIF('Brackets - prob'!B26:B27,"="&amp;H27,'Brackets - freq'!B26:B27)*H27</f>
        <v/>
      </c>
      <c r="O27" s="53">
        <f>AVERAGEIF('Brackets - prob'!C26:C29,"="&amp;I27,'Brackets - freq'!C26:C29)*I27</f>
        <v/>
      </c>
      <c r="P27" s="53">
        <f>AVERAGEIF('Brackets - prob'!D26:D33,"="&amp;J27,'Brackets - freq'!D26:D33)*J27</f>
        <v/>
      </c>
      <c r="Q27" s="53">
        <f>Q26</f>
        <v/>
      </c>
      <c r="R27" s="53">
        <f>R26</f>
        <v/>
      </c>
      <c r="S27" s="53">
        <f>S26</f>
        <v/>
      </c>
      <c r="T27" s="191">
        <f>Bracket!E$2*('Brackets - prob'!B26-H27)</f>
        <v/>
      </c>
      <c r="U27" s="191">
        <f>Bracket!F$2*('Brackets - prob'!C26-I27)</f>
        <v/>
      </c>
      <c r="V27" s="191">
        <f>Bracket!G$2*('Brackets - prob'!D26-J27)</f>
        <v/>
      </c>
      <c r="W27" s="191">
        <f>Bracket!H$2*('Brackets - prob'!E26-K27)</f>
        <v/>
      </c>
      <c r="X27" s="191">
        <f>Bracket!I$2*('Brackets - prob'!F26-L27)</f>
        <v/>
      </c>
      <c r="Y27" s="191">
        <f>Bracket!J$2*('Brackets - prob'!G26-M27)</f>
        <v/>
      </c>
      <c r="Z27" s="192">
        <f>SUM(T27:$T27)</f>
        <v/>
      </c>
      <c r="AA27" s="192">
        <f>SUM($T27:U27)</f>
        <v/>
      </c>
      <c r="AB27" s="192">
        <f>SUM($T27:V27)</f>
        <v/>
      </c>
      <c r="AC27" s="192">
        <f>SUM($T27:W27)</f>
        <v/>
      </c>
      <c r="AD27" s="192">
        <f>SUM($T27:X27)</f>
        <v/>
      </c>
      <c r="AE27" s="192">
        <f>SUM($T27:Y27)</f>
        <v/>
      </c>
      <c r="AF27" s="193">
        <f>'Brackets - prob'!B26*(1-'Brackets - prob'!B26-2*'Brackets - freq'!B26+2*B27)+B27-B27^2</f>
        <v/>
      </c>
      <c r="AG27" s="193">
        <f>'Brackets - prob'!C26*(1-'Brackets - prob'!C26-2*'Brackets - freq'!C26+2*C27)+C27-C27^2</f>
        <v/>
      </c>
      <c r="AH27" s="193">
        <f>'Brackets - prob'!D26*(1-'Brackets - prob'!D26-2*'Brackets - freq'!D26+2*D27)+D27-D27^2</f>
        <v/>
      </c>
      <c r="AI27" s="193">
        <f>'Brackets - prob'!E26*(1-'Brackets - prob'!E26-2*'Brackets - freq'!E26+2*E27)+E27-E27^2</f>
        <v/>
      </c>
      <c r="AJ27" s="193">
        <f>'Brackets - prob'!F26*(1-'Brackets - prob'!F26-2*'Brackets - freq'!F26+2*F27)+F27-F27^2</f>
        <v/>
      </c>
      <c r="AK27" s="193">
        <f>'Brackets - prob'!G26*(1-'Brackets - prob'!G26-2*'Brackets - freq'!G26+2*G27)+G27-G27^2</f>
        <v/>
      </c>
      <c r="AL27" s="194">
        <f>Bracket!E$2^2*(('Brackets - prob'!B26-H27)*(1+2*B27)-'Brackets - prob'!B26^2+H27^2-2*('Brackets - prob'!B26*'Brackets - freq'!B26-N27))</f>
        <v/>
      </c>
      <c r="AM27" s="194">
        <f>Bracket!F$2^2*(('Brackets - prob'!C26-I27)*(1+2*C27)-'Brackets - prob'!C26^2+I27^2-2*('Brackets - prob'!C26*'Brackets - freq'!C26-O27))</f>
        <v/>
      </c>
      <c r="AN27" s="194">
        <f>Bracket!G$2^2*(('Brackets - prob'!D26-J27)*(1+2*D27)-'Brackets - prob'!D26^2+J27^2-2*('Brackets - prob'!D26*'Brackets - freq'!D26-P27))</f>
        <v/>
      </c>
      <c r="AO27" s="194">
        <f>Bracket!H$2^2*(('Brackets - prob'!E26-K27)*(1+2*E27)-'Brackets - prob'!E26^2+K27^2-2*('Brackets - prob'!E26*'Brackets - freq'!E26-Q27))</f>
        <v/>
      </c>
      <c r="AP27" s="194">
        <f>Bracket!I$2^2*(('Brackets - prob'!F26-L27)*(1+2*F27)-'Brackets - prob'!F26^2+L27^2-2*('Brackets - prob'!F26*'Brackets - freq'!F26-R27))</f>
        <v/>
      </c>
      <c r="AQ27" s="194">
        <f>Bracket!J$2^2*(('Brackets - prob'!G26-M27)*(1+2*G27)-'Brackets - prob'!G26^2+M27^2-2*('Brackets - prob'!G26*'Brackets - freq'!G26-S27))</f>
        <v/>
      </c>
      <c r="AR27" s="192">
        <f>SUM($AL27:AL27)</f>
        <v/>
      </c>
      <c r="AS27" s="192">
        <f>SUM($AL27:AM27)</f>
        <v/>
      </c>
      <c r="AT27" s="192">
        <f>SUM($AL27:AN27)</f>
        <v/>
      </c>
      <c r="AU27" s="192">
        <f>SUM($AL27:AO27)</f>
        <v/>
      </c>
      <c r="AV27" s="192">
        <f>SUM($AL27:AP27)</f>
        <v/>
      </c>
      <c r="AW27" s="192">
        <f>SUM($AL27:AQ27)</f>
        <v/>
      </c>
      <c r="AX27" s="195">
        <f>IF(Z27=0,0,AR27/Z27)</f>
        <v/>
      </c>
      <c r="AY27" s="195">
        <f>IF(AA27=0,0,AS27/AA27)</f>
        <v/>
      </c>
      <c r="AZ27" s="195">
        <f>IF(AB27=0,0,AT27/AB27)</f>
        <v/>
      </c>
      <c r="BA27" s="195">
        <f>IF(AC27=0,0,AU27/AC27)</f>
        <v/>
      </c>
      <c r="BB27" s="195">
        <f>IF(AD27=0,0,AV27/AD27)</f>
        <v/>
      </c>
      <c r="BC27" s="195">
        <f>IF(AE27=0,0,AW27/AE27)</f>
        <v/>
      </c>
      <c r="BD27" s="196">
        <f>IF(OR(AX27=0,AX27&lt;=-1),1,0)</f>
        <v/>
      </c>
      <c r="BE27" s="196">
        <f>IF(OR(AY27=0,AY27&lt;=-1),1,0)</f>
        <v/>
      </c>
      <c r="BF27" s="196">
        <f>IF(OR(AZ27=0,AZ27&lt;=-1),1,0)</f>
        <v/>
      </c>
      <c r="BG27" s="196">
        <f>IF(OR(BA27=0,BA27&lt;=-1),1,0)</f>
        <v/>
      </c>
      <c r="BH27" s="196">
        <f>IF(OR(BB27=0,BB27&lt;=-1),1,0)</f>
        <v/>
      </c>
      <c r="BI27" s="196">
        <f>IF(OR(BC27=0,BC27&lt;=-1),1,0)</f>
        <v/>
      </c>
      <c r="BJ27" s="197">
        <f>IF(AND('Brackets - prob'!B26&gt;H27-0.5,'Brackets - freq'!B26/'Brackets - prob'!B26&lt;N27/H27^2),1,0)</f>
        <v/>
      </c>
      <c r="BK27" s="197">
        <f>IF(AND('Brackets - prob'!C26&gt;I27-0.5,'Brackets - freq'!C26/'Brackets - prob'!C26&lt;O27/I27^2),1,0)</f>
        <v/>
      </c>
      <c r="BL27" s="197">
        <f>IF(AND('Brackets - prob'!D26&gt;J27-0.5,'Brackets - freq'!D26/'Brackets - prob'!D26&lt;P27/J27^2),1,0)</f>
        <v/>
      </c>
      <c r="BM27" s="197">
        <f>IF(AND('Brackets - prob'!E26&gt;K27-0.5,'Brackets - freq'!E26/'Brackets - prob'!E26&lt;Q27/K27^2),1,0)</f>
        <v/>
      </c>
      <c r="BN27" s="197">
        <f>IF(AND('Brackets - prob'!F26&gt;L27-0.5,'Brackets - freq'!F26/'Brackets - prob'!F26&lt;R27/L27^2),1,0)</f>
        <v/>
      </c>
      <c r="BO27" s="197">
        <f>IF(AND('Brackets - prob'!G26&gt;M27-0.5,'Brackets - freq'!G26/'Brackets - prob'!G26&lt;S27/M27^2),1,0)</f>
        <v/>
      </c>
    </row>
    <row r="28">
      <c r="A28" s="41" t="inlineStr">
        <is>
          <t>AS/SJ</t>
        </is>
      </c>
      <c r="B28" s="51">
        <f>B27</f>
        <v/>
      </c>
      <c r="C28" s="51">
        <f>C27</f>
        <v/>
      </c>
      <c r="D28" s="51">
        <f>D27</f>
        <v/>
      </c>
      <c r="E28" s="51">
        <f>E27</f>
        <v/>
      </c>
      <c r="F28" s="51">
        <f>F27</f>
        <v/>
      </c>
      <c r="G28" s="51">
        <f>G27</f>
        <v/>
      </c>
      <c r="H28" s="52">
        <f>H27</f>
        <v/>
      </c>
      <c r="I28" s="52">
        <f>I27</f>
        <v/>
      </c>
      <c r="J28" s="52">
        <f>J27</f>
        <v/>
      </c>
      <c r="K28" s="52">
        <f>K27</f>
        <v/>
      </c>
      <c r="L28" s="52">
        <f>L27</f>
        <v/>
      </c>
      <c r="M28" s="52">
        <f>M27</f>
        <v/>
      </c>
      <c r="N28" s="53">
        <f>N27</f>
        <v/>
      </c>
      <c r="O28" s="53">
        <f>O27</f>
        <v/>
      </c>
      <c r="P28" s="53">
        <f>P27</f>
        <v/>
      </c>
      <c r="Q28" s="53">
        <f>Q27</f>
        <v/>
      </c>
      <c r="R28" s="53">
        <f>R27</f>
        <v/>
      </c>
      <c r="S28" s="53">
        <f>S27</f>
        <v/>
      </c>
      <c r="T28" s="191">
        <f>Bracket!E$2*('Brackets - prob'!B27-H28)</f>
        <v/>
      </c>
      <c r="U28" s="191">
        <f>Bracket!F$2*('Brackets - prob'!C27-I28)</f>
        <v/>
      </c>
      <c r="V28" s="191">
        <f>Bracket!G$2*('Brackets - prob'!D27-J28)</f>
        <v/>
      </c>
      <c r="W28" s="191">
        <f>Bracket!H$2*('Brackets - prob'!E27-K28)</f>
        <v/>
      </c>
      <c r="X28" s="191">
        <f>Bracket!I$2*('Brackets - prob'!F27-L28)</f>
        <v/>
      </c>
      <c r="Y28" s="191">
        <f>Bracket!J$2*('Brackets - prob'!G27-M28)</f>
        <v/>
      </c>
      <c r="Z28" s="192">
        <f>SUM(T28:$T28)</f>
        <v/>
      </c>
      <c r="AA28" s="192">
        <f>SUM($T28:U28)</f>
        <v/>
      </c>
      <c r="AB28" s="192">
        <f>SUM($T28:V28)</f>
        <v/>
      </c>
      <c r="AC28" s="192">
        <f>SUM($T28:W28)</f>
        <v/>
      </c>
      <c r="AD28" s="192">
        <f>SUM($T28:X28)</f>
        <v/>
      </c>
      <c r="AE28" s="192">
        <f>SUM($T28:Y28)</f>
        <v/>
      </c>
      <c r="AF28" s="193">
        <f>'Brackets - prob'!B27*(1-'Brackets - prob'!B27-2*'Brackets - freq'!B27+2*B28)+B28-B28^2</f>
        <v/>
      </c>
      <c r="AG28" s="193">
        <f>'Brackets - prob'!C27*(1-'Brackets - prob'!C27-2*'Brackets - freq'!C27+2*C28)+C28-C28^2</f>
        <v/>
      </c>
      <c r="AH28" s="193">
        <f>'Brackets - prob'!D27*(1-'Brackets - prob'!D27-2*'Brackets - freq'!D27+2*D28)+D28-D28^2</f>
        <v/>
      </c>
      <c r="AI28" s="193">
        <f>'Brackets - prob'!E27*(1-'Brackets - prob'!E27-2*'Brackets - freq'!E27+2*E28)+E28-E28^2</f>
        <v/>
      </c>
      <c r="AJ28" s="193">
        <f>'Brackets - prob'!F27*(1-'Brackets - prob'!F27-2*'Brackets - freq'!F27+2*F28)+F28-F28^2</f>
        <v/>
      </c>
      <c r="AK28" s="193">
        <f>'Brackets - prob'!G27*(1-'Brackets - prob'!G27-2*'Brackets - freq'!G27+2*G28)+G28-G28^2</f>
        <v/>
      </c>
      <c r="AL28" s="194">
        <f>Bracket!E$2^2*(('Brackets - prob'!B27-H28)*(1+2*B28)-'Brackets - prob'!B27^2+H28^2-2*('Brackets - prob'!B27*'Brackets - freq'!B27-N28))</f>
        <v/>
      </c>
      <c r="AM28" s="194">
        <f>Bracket!F$2^2*(('Brackets - prob'!C27-I28)*(1+2*C28)-'Brackets - prob'!C27^2+I28^2-2*('Brackets - prob'!C27*'Brackets - freq'!C27-O28))</f>
        <v/>
      </c>
      <c r="AN28" s="194">
        <f>Bracket!G$2^2*(('Brackets - prob'!D27-J28)*(1+2*D28)-'Brackets - prob'!D27^2+J28^2-2*('Brackets - prob'!D27*'Brackets - freq'!D27-P28))</f>
        <v/>
      </c>
      <c r="AO28" s="194">
        <f>Bracket!H$2^2*(('Brackets - prob'!E27-K28)*(1+2*E28)-'Brackets - prob'!E27^2+K28^2-2*('Brackets - prob'!E27*'Brackets - freq'!E27-Q28))</f>
        <v/>
      </c>
      <c r="AP28" s="194">
        <f>Bracket!I$2^2*(('Brackets - prob'!F27-L28)*(1+2*F28)-'Brackets - prob'!F27^2+L28^2-2*('Brackets - prob'!F27*'Brackets - freq'!F27-R28))</f>
        <v/>
      </c>
      <c r="AQ28" s="194">
        <f>Bracket!J$2^2*(('Brackets - prob'!G27-M28)*(1+2*G28)-'Brackets - prob'!G27^2+M28^2-2*('Brackets - prob'!G27*'Brackets - freq'!G27-S28))</f>
        <v/>
      </c>
      <c r="AR28" s="192">
        <f>SUM($AL28:AL28)</f>
        <v/>
      </c>
      <c r="AS28" s="192">
        <f>SUM($AL28:AM28)</f>
        <v/>
      </c>
      <c r="AT28" s="192">
        <f>SUM($AL28:AN28)</f>
        <v/>
      </c>
      <c r="AU28" s="192">
        <f>SUM($AL28:AO28)</f>
        <v/>
      </c>
      <c r="AV28" s="192">
        <f>SUM($AL28:AP28)</f>
        <v/>
      </c>
      <c r="AW28" s="192">
        <f>SUM($AL28:AQ28)</f>
        <v/>
      </c>
      <c r="AX28" s="195">
        <f>IF(Z28=0,0,AR28/Z28)</f>
        <v/>
      </c>
      <c r="AY28" s="195">
        <f>IF(AA28=0,0,AS28/AA28)</f>
        <v/>
      </c>
      <c r="AZ28" s="195">
        <f>IF(AB28=0,0,AT28/AB28)</f>
        <v/>
      </c>
      <c r="BA28" s="195">
        <f>IF(AC28=0,0,AU28/AC28)</f>
        <v/>
      </c>
      <c r="BB28" s="195">
        <f>IF(AD28=0,0,AV28/AD28)</f>
        <v/>
      </c>
      <c r="BC28" s="195">
        <f>IF(AE28=0,0,AW28/AE28)</f>
        <v/>
      </c>
      <c r="BD28" s="196">
        <f>IF(OR(AX28=0,AX28&lt;=-1),1,0)</f>
        <v/>
      </c>
      <c r="BE28" s="196">
        <f>IF(OR(AY28=0,AY28&lt;=-1),1,0)</f>
        <v/>
      </c>
      <c r="BF28" s="196">
        <f>IF(OR(AZ28=0,AZ28&lt;=-1),1,0)</f>
        <v/>
      </c>
      <c r="BG28" s="196">
        <f>IF(OR(BA28=0,BA28&lt;=-1),1,0)</f>
        <v/>
      </c>
      <c r="BH28" s="196">
        <f>IF(OR(BB28=0,BB28&lt;=-1),1,0)</f>
        <v/>
      </c>
      <c r="BI28" s="196">
        <f>IF(OR(BC28=0,BC28&lt;=-1),1,0)</f>
        <v/>
      </c>
      <c r="BJ28" s="197">
        <f>IF(AND('Brackets - prob'!B27&gt;H28-0.5,'Brackets - freq'!B27/'Brackets - prob'!B27&lt;N28/H28^2),1,0)</f>
        <v/>
      </c>
      <c r="BK28" s="197">
        <f>IF(AND('Brackets - prob'!C27&gt;I28-0.5,'Brackets - freq'!C27/'Brackets - prob'!C27&lt;O28/I28^2),1,0)</f>
        <v/>
      </c>
      <c r="BL28" s="197">
        <f>IF(AND('Brackets - prob'!D27&gt;J28-0.5,'Brackets - freq'!D27/'Brackets - prob'!D27&lt;P28/J28^2),1,0)</f>
        <v/>
      </c>
      <c r="BM28" s="197">
        <f>IF(AND('Brackets - prob'!E27&gt;K28-0.5,'Brackets - freq'!E27/'Brackets - prob'!E27&lt;Q28/K28^2),1,0)</f>
        <v/>
      </c>
      <c r="BN28" s="197">
        <f>IF(AND('Brackets - prob'!F27&gt;L28-0.5,'Brackets - freq'!F27/'Brackets - prob'!F27&lt;R28/L28^2),1,0)</f>
        <v/>
      </c>
      <c r="BO28" s="197">
        <f>IF(AND('Brackets - prob'!G27&gt;M28-0.5,'Brackets - freq'!G27/'Brackets - prob'!G27&lt;S28/M28^2),1,0)</f>
        <v/>
      </c>
    </row>
    <row r="29">
      <c r="A29" s="41" t="inlineStr">
        <is>
          <t>Texas Tech</t>
        </is>
      </c>
      <c r="B29" s="51">
        <f>SUMPRODUCT('Brackets - prob'!B28:B29,'Brackets - freq'!B28:B29)</f>
        <v/>
      </c>
      <c r="C29" s="51">
        <f>C28</f>
        <v/>
      </c>
      <c r="D29" s="51">
        <f>D28</f>
        <v/>
      </c>
      <c r="E29" s="51">
        <f>E28</f>
        <v/>
      </c>
      <c r="F29" s="51">
        <f>F28</f>
        <v/>
      </c>
      <c r="G29" s="51">
        <f>G28</f>
        <v/>
      </c>
      <c r="H29" s="52">
        <f>MAX('Brackets - prob'!B28:B29)</f>
        <v/>
      </c>
      <c r="I29" s="52">
        <f>I28</f>
        <v/>
      </c>
      <c r="J29" s="52">
        <f>J28</f>
        <v/>
      </c>
      <c r="K29" s="52">
        <f>K28</f>
        <v/>
      </c>
      <c r="L29" s="52">
        <f>L28</f>
        <v/>
      </c>
      <c r="M29" s="52">
        <f>M28</f>
        <v/>
      </c>
      <c r="N29" s="53">
        <f>AVERAGEIF('Brackets - prob'!B28:B29,"="&amp;H29,'Brackets - freq'!B28:B29)*H29</f>
        <v/>
      </c>
      <c r="O29" s="53">
        <f>O28</f>
        <v/>
      </c>
      <c r="P29" s="53">
        <f>P28</f>
        <v/>
      </c>
      <c r="Q29" s="53">
        <f>Q28</f>
        <v/>
      </c>
      <c r="R29" s="53">
        <f>R28</f>
        <v/>
      </c>
      <c r="S29" s="53">
        <f>S28</f>
        <v/>
      </c>
      <c r="T29" s="191">
        <f>Bracket!E$2*('Brackets - prob'!B28-H29)</f>
        <v/>
      </c>
      <c r="U29" s="191">
        <f>Bracket!F$2*('Brackets - prob'!C28-I29)</f>
        <v/>
      </c>
      <c r="V29" s="191">
        <f>Bracket!G$2*('Brackets - prob'!D28-J29)</f>
        <v/>
      </c>
      <c r="W29" s="191">
        <f>Bracket!H$2*('Brackets - prob'!E28-K29)</f>
        <v/>
      </c>
      <c r="X29" s="191">
        <f>Bracket!I$2*('Brackets - prob'!F28-L29)</f>
        <v/>
      </c>
      <c r="Y29" s="191">
        <f>Bracket!J$2*('Brackets - prob'!G28-M29)</f>
        <v/>
      </c>
      <c r="Z29" s="192">
        <f>SUM(T29:$T29)</f>
        <v/>
      </c>
      <c r="AA29" s="192">
        <f>SUM($T29:U29)</f>
        <v/>
      </c>
      <c r="AB29" s="192">
        <f>SUM($T29:V29)</f>
        <v/>
      </c>
      <c r="AC29" s="192">
        <f>SUM($T29:W29)</f>
        <v/>
      </c>
      <c r="AD29" s="192">
        <f>SUM($T29:X29)</f>
        <v/>
      </c>
      <c r="AE29" s="192">
        <f>SUM($T29:Y29)</f>
        <v/>
      </c>
      <c r="AF29" s="193">
        <f>'Brackets - prob'!B28*(1-'Brackets - prob'!B28-2*'Brackets - freq'!B28+2*B29)+B29-B29^2</f>
        <v/>
      </c>
      <c r="AG29" s="193">
        <f>'Brackets - prob'!C28*(1-'Brackets - prob'!C28-2*'Brackets - freq'!C28+2*C29)+C29-C29^2</f>
        <v/>
      </c>
      <c r="AH29" s="193">
        <f>'Brackets - prob'!D28*(1-'Brackets - prob'!D28-2*'Brackets - freq'!D28+2*D29)+D29-D29^2</f>
        <v/>
      </c>
      <c r="AI29" s="193">
        <f>'Brackets - prob'!E28*(1-'Brackets - prob'!E28-2*'Brackets - freq'!E28+2*E29)+E29-E29^2</f>
        <v/>
      </c>
      <c r="AJ29" s="193">
        <f>'Brackets - prob'!F28*(1-'Brackets - prob'!F28-2*'Brackets - freq'!F28+2*F29)+F29-F29^2</f>
        <v/>
      </c>
      <c r="AK29" s="193">
        <f>'Brackets - prob'!G28*(1-'Brackets - prob'!G28-2*'Brackets - freq'!G28+2*G29)+G29-G29^2</f>
        <v/>
      </c>
      <c r="AL29" s="194">
        <f>Bracket!E$2^2*(('Brackets - prob'!B28-H29)*(1+2*B29)-'Brackets - prob'!B28^2+H29^2-2*('Brackets - prob'!B28*'Brackets - freq'!B28-N29))</f>
        <v/>
      </c>
      <c r="AM29" s="194">
        <f>Bracket!F$2^2*(('Brackets - prob'!C28-I29)*(1+2*C29)-'Brackets - prob'!C28^2+I29^2-2*('Brackets - prob'!C28*'Brackets - freq'!C28-O29))</f>
        <v/>
      </c>
      <c r="AN29" s="194">
        <f>Bracket!G$2^2*(('Brackets - prob'!D28-J29)*(1+2*D29)-'Brackets - prob'!D28^2+J29^2-2*('Brackets - prob'!D28*'Brackets - freq'!D28-P29))</f>
        <v/>
      </c>
      <c r="AO29" s="194">
        <f>Bracket!H$2^2*(('Brackets - prob'!E28-K29)*(1+2*E29)-'Brackets - prob'!E28^2+K29^2-2*('Brackets - prob'!E28*'Brackets - freq'!E28-Q29))</f>
        <v/>
      </c>
      <c r="AP29" s="194">
        <f>Bracket!I$2^2*(('Brackets - prob'!F28-L29)*(1+2*F29)-'Brackets - prob'!F28^2+L29^2-2*('Brackets - prob'!F28*'Brackets - freq'!F28-R29))</f>
        <v/>
      </c>
      <c r="AQ29" s="194">
        <f>Bracket!J$2^2*(('Brackets - prob'!G28-M29)*(1+2*G29)-'Brackets - prob'!G28^2+M29^2-2*('Brackets - prob'!G28*'Brackets - freq'!G28-S29))</f>
        <v/>
      </c>
      <c r="AR29" s="192">
        <f>SUM($AL29:AL29)</f>
        <v/>
      </c>
      <c r="AS29" s="192">
        <f>SUM($AL29:AM29)</f>
        <v/>
      </c>
      <c r="AT29" s="192">
        <f>SUM($AL29:AN29)</f>
        <v/>
      </c>
      <c r="AU29" s="192">
        <f>SUM($AL29:AO29)</f>
        <v/>
      </c>
      <c r="AV29" s="192">
        <f>SUM($AL29:AP29)</f>
        <v/>
      </c>
      <c r="AW29" s="192">
        <f>SUM($AL29:AQ29)</f>
        <v/>
      </c>
      <c r="AX29" s="195">
        <f>IF(Z29=0,0,AR29/Z29)</f>
        <v/>
      </c>
      <c r="AY29" s="195">
        <f>IF(AA29=0,0,AS29/AA29)</f>
        <v/>
      </c>
      <c r="AZ29" s="195">
        <f>IF(AB29=0,0,AT29/AB29)</f>
        <v/>
      </c>
      <c r="BA29" s="195">
        <f>IF(AC29=0,0,AU29/AC29)</f>
        <v/>
      </c>
      <c r="BB29" s="195">
        <f>IF(AD29=0,0,AV29/AD29)</f>
        <v/>
      </c>
      <c r="BC29" s="195">
        <f>IF(AE29=0,0,AW29/AE29)</f>
        <v/>
      </c>
      <c r="BD29" s="196">
        <f>IF(OR(AX29=0,AX29&lt;=-1),1,0)</f>
        <v/>
      </c>
      <c r="BE29" s="196">
        <f>IF(OR(AY29=0,AY29&lt;=-1),1,0)</f>
        <v/>
      </c>
      <c r="BF29" s="196">
        <f>IF(OR(AZ29=0,AZ29&lt;=-1),1,0)</f>
        <v/>
      </c>
      <c r="BG29" s="196">
        <f>IF(OR(BA29=0,BA29&lt;=-1),1,0)</f>
        <v/>
      </c>
      <c r="BH29" s="196">
        <f>IF(OR(BB29=0,BB29&lt;=-1),1,0)</f>
        <v/>
      </c>
      <c r="BI29" s="196">
        <f>IF(OR(BC29=0,BC29&lt;=-1),1,0)</f>
        <v/>
      </c>
      <c r="BJ29" s="197">
        <f>IF(AND('Brackets - prob'!B28&gt;H29-0.5,'Brackets - freq'!B28/'Brackets - prob'!B28&lt;N29/H29^2),1,0)</f>
        <v/>
      </c>
      <c r="BK29" s="197">
        <f>IF(AND('Brackets - prob'!C28&gt;I29-0.5,'Brackets - freq'!C28/'Brackets - prob'!C28&lt;O29/I29^2),1,0)</f>
        <v/>
      </c>
      <c r="BL29" s="197">
        <f>IF(AND('Brackets - prob'!D28&gt;J29-0.5,'Brackets - freq'!D28/'Brackets - prob'!D28&lt;P29/J29^2),1,0)</f>
        <v/>
      </c>
      <c r="BM29" s="197">
        <f>IF(AND('Brackets - prob'!E28&gt;K29-0.5,'Brackets - freq'!E28/'Brackets - prob'!E28&lt;Q29/K29^2),1,0)</f>
        <v/>
      </c>
      <c r="BN29" s="197">
        <f>IF(AND('Brackets - prob'!F28&gt;L29-0.5,'Brackets - freq'!F28/'Brackets - prob'!F28&lt;R29/L29^2),1,0)</f>
        <v/>
      </c>
      <c r="BO29" s="197">
        <f>IF(AND('Brackets - prob'!G28&gt;M29-0.5,'Brackets - freq'!G28/'Brackets - prob'!G28&lt;S29/M29^2),1,0)</f>
        <v/>
      </c>
    </row>
    <row r="30">
      <c r="A30" s="41" t="inlineStr">
        <is>
          <t>Northern Kentucky</t>
        </is>
      </c>
      <c r="B30" s="51">
        <f>B29</f>
        <v/>
      </c>
      <c r="C30" s="51">
        <f>C29</f>
        <v/>
      </c>
      <c r="D30" s="51">
        <f>D29</f>
        <v/>
      </c>
      <c r="E30" s="51">
        <f>E29</f>
        <v/>
      </c>
      <c r="F30" s="51">
        <f>F29</f>
        <v/>
      </c>
      <c r="G30" s="51">
        <f>G29</f>
        <v/>
      </c>
      <c r="H30" s="52">
        <f>H29</f>
        <v/>
      </c>
      <c r="I30" s="52">
        <f>I29</f>
        <v/>
      </c>
      <c r="J30" s="52">
        <f>J29</f>
        <v/>
      </c>
      <c r="K30" s="52">
        <f>K29</f>
        <v/>
      </c>
      <c r="L30" s="52">
        <f>L29</f>
        <v/>
      </c>
      <c r="M30" s="52">
        <f>M29</f>
        <v/>
      </c>
      <c r="N30" s="53">
        <f>N29</f>
        <v/>
      </c>
      <c r="O30" s="53">
        <f>O29</f>
        <v/>
      </c>
      <c r="P30" s="53">
        <f>P29</f>
        <v/>
      </c>
      <c r="Q30" s="53">
        <f>Q29</f>
        <v/>
      </c>
      <c r="R30" s="53">
        <f>R29</f>
        <v/>
      </c>
      <c r="S30" s="53">
        <f>S29</f>
        <v/>
      </c>
      <c r="T30" s="191">
        <f>Bracket!E$2*('Brackets - prob'!B29-H30)</f>
        <v/>
      </c>
      <c r="U30" s="191">
        <f>Bracket!F$2*('Brackets - prob'!C29-I30)</f>
        <v/>
      </c>
      <c r="V30" s="191">
        <f>Bracket!G$2*('Brackets - prob'!D29-J30)</f>
        <v/>
      </c>
      <c r="W30" s="191">
        <f>Bracket!H$2*('Brackets - prob'!E29-K30)</f>
        <v/>
      </c>
      <c r="X30" s="191">
        <f>Bracket!I$2*('Brackets - prob'!F29-L30)</f>
        <v/>
      </c>
      <c r="Y30" s="191">
        <f>Bracket!J$2*('Brackets - prob'!G29-M30)</f>
        <v/>
      </c>
      <c r="Z30" s="192">
        <f>SUM(T30:$T30)</f>
        <v/>
      </c>
      <c r="AA30" s="192">
        <f>SUM($T30:U30)</f>
        <v/>
      </c>
      <c r="AB30" s="192">
        <f>SUM($T30:V30)</f>
        <v/>
      </c>
      <c r="AC30" s="192">
        <f>SUM($T30:W30)</f>
        <v/>
      </c>
      <c r="AD30" s="192">
        <f>SUM($T30:X30)</f>
        <v/>
      </c>
      <c r="AE30" s="192">
        <f>SUM($T30:Y30)</f>
        <v/>
      </c>
      <c r="AF30" s="193">
        <f>'Brackets - prob'!B29*(1-'Brackets - prob'!B29-2*'Brackets - freq'!B29+2*B30)+B30-B30^2</f>
        <v/>
      </c>
      <c r="AG30" s="193">
        <f>'Brackets - prob'!C29*(1-'Brackets - prob'!C29-2*'Brackets - freq'!C29+2*C30)+C30-C30^2</f>
        <v/>
      </c>
      <c r="AH30" s="193">
        <f>'Brackets - prob'!D29*(1-'Brackets - prob'!D29-2*'Brackets - freq'!D29+2*D30)+D30-D30^2</f>
        <v/>
      </c>
      <c r="AI30" s="193">
        <f>'Brackets - prob'!E29*(1-'Brackets - prob'!E29-2*'Brackets - freq'!E29+2*E30)+E30-E30^2</f>
        <v/>
      </c>
      <c r="AJ30" s="193">
        <f>'Brackets - prob'!F29*(1-'Brackets - prob'!F29-2*'Brackets - freq'!F29+2*F30)+F30-F30^2</f>
        <v/>
      </c>
      <c r="AK30" s="193">
        <f>'Brackets - prob'!G29*(1-'Brackets - prob'!G29-2*'Brackets - freq'!G29+2*G30)+G30-G30^2</f>
        <v/>
      </c>
      <c r="AL30" s="194">
        <f>Bracket!E$2^2*(('Brackets - prob'!B29-H30)*(1+2*B30)-'Brackets - prob'!B29^2+H30^2-2*('Brackets - prob'!B29*'Brackets - freq'!B29-N30))</f>
        <v/>
      </c>
      <c r="AM30" s="194">
        <f>Bracket!F$2^2*(('Brackets - prob'!C29-I30)*(1+2*C30)-'Brackets - prob'!C29^2+I30^2-2*('Brackets - prob'!C29*'Brackets - freq'!C29-O30))</f>
        <v/>
      </c>
      <c r="AN30" s="194">
        <f>Bracket!G$2^2*(('Brackets - prob'!D29-J30)*(1+2*D30)-'Brackets - prob'!D29^2+J30^2-2*('Brackets - prob'!D29*'Brackets - freq'!D29-P30))</f>
        <v/>
      </c>
      <c r="AO30" s="194">
        <f>Bracket!H$2^2*(('Brackets - prob'!E29-K30)*(1+2*E30)-'Brackets - prob'!E29^2+K30^2-2*('Brackets - prob'!E29*'Brackets - freq'!E29-Q30))</f>
        <v/>
      </c>
      <c r="AP30" s="194">
        <f>Bracket!I$2^2*(('Brackets - prob'!F29-L30)*(1+2*F30)-'Brackets - prob'!F29^2+L30^2-2*('Brackets - prob'!F29*'Brackets - freq'!F29-R30))</f>
        <v/>
      </c>
      <c r="AQ30" s="194">
        <f>Bracket!J$2^2*(('Brackets - prob'!G29-M30)*(1+2*G30)-'Brackets - prob'!G29^2+M30^2-2*('Brackets - prob'!G29*'Brackets - freq'!G29-S30))</f>
        <v/>
      </c>
      <c r="AR30" s="192">
        <f>SUM($AL30:AL30)</f>
        <v/>
      </c>
      <c r="AS30" s="192">
        <f>SUM($AL30:AM30)</f>
        <v/>
      </c>
      <c r="AT30" s="192">
        <f>SUM($AL30:AN30)</f>
        <v/>
      </c>
      <c r="AU30" s="192">
        <f>SUM($AL30:AO30)</f>
        <v/>
      </c>
      <c r="AV30" s="192">
        <f>SUM($AL30:AP30)</f>
        <v/>
      </c>
      <c r="AW30" s="192">
        <f>SUM($AL30:AQ30)</f>
        <v/>
      </c>
      <c r="AX30" s="195">
        <f>IF(Z30=0,0,AR30/Z30)</f>
        <v/>
      </c>
      <c r="AY30" s="195">
        <f>IF(AA30=0,0,AS30/AA30)</f>
        <v/>
      </c>
      <c r="AZ30" s="195">
        <f>IF(AB30=0,0,AT30/AB30)</f>
        <v/>
      </c>
      <c r="BA30" s="195">
        <f>IF(AC30=0,0,AU30/AC30)</f>
        <v/>
      </c>
      <c r="BB30" s="195">
        <f>IF(AD30=0,0,AV30/AD30)</f>
        <v/>
      </c>
      <c r="BC30" s="195">
        <f>IF(AE30=0,0,AW30/AE30)</f>
        <v/>
      </c>
      <c r="BD30" s="196">
        <f>IF(OR(AX30=0,AX30&lt;=-1),1,0)</f>
        <v/>
      </c>
      <c r="BE30" s="196">
        <f>IF(OR(AY30=0,AY30&lt;=-1),1,0)</f>
        <v/>
      </c>
      <c r="BF30" s="196">
        <f>IF(OR(AZ30=0,AZ30&lt;=-1),1,0)</f>
        <v/>
      </c>
      <c r="BG30" s="196">
        <f>IF(OR(BA30=0,BA30&lt;=-1),1,0)</f>
        <v/>
      </c>
      <c r="BH30" s="196">
        <f>IF(OR(BB30=0,BB30&lt;=-1),1,0)</f>
        <v/>
      </c>
      <c r="BI30" s="196">
        <f>IF(OR(BC30=0,BC30&lt;=-1),1,0)</f>
        <v/>
      </c>
      <c r="BJ30" s="197">
        <f>IF(AND('Brackets - prob'!B29&gt;H30-0.5,'Brackets - freq'!B29/'Brackets - prob'!B29&lt;N30/H30^2),1,0)</f>
        <v/>
      </c>
      <c r="BK30" s="197">
        <f>IF(AND('Brackets - prob'!C29&gt;I30-0.5,'Brackets - freq'!C29/'Brackets - prob'!C29&lt;O30/I30^2),1,0)</f>
        <v/>
      </c>
      <c r="BL30" s="197">
        <f>IF(AND('Brackets - prob'!D29&gt;J30-0.5,'Brackets - freq'!D29/'Brackets - prob'!D29&lt;P30/J30^2),1,0)</f>
        <v/>
      </c>
      <c r="BM30" s="197">
        <f>IF(AND('Brackets - prob'!E29&gt;K30-0.5,'Brackets - freq'!E29/'Brackets - prob'!E29&lt;Q30/K30^2),1,0)</f>
        <v/>
      </c>
      <c r="BN30" s="197">
        <f>IF(AND('Brackets - prob'!F29&gt;L30-0.5,'Brackets - freq'!F29/'Brackets - prob'!F29&lt;R30/L30^2),1,0)</f>
        <v/>
      </c>
      <c r="BO30" s="197">
        <f>IF(AND('Brackets - prob'!G29&gt;M30-0.5,'Brackets - freq'!G29/'Brackets - prob'!G29&lt;S30/M30^2),1,0)</f>
        <v/>
      </c>
    </row>
    <row r="31">
      <c r="A31" s="41" t="inlineStr">
        <is>
          <t>Nevada</t>
        </is>
      </c>
      <c r="B31" s="51">
        <f>SUMPRODUCT('Brackets - prob'!B30:B31,'Brackets - freq'!B30:B31)</f>
        <v/>
      </c>
      <c r="C31" s="51">
        <f>SUMPRODUCT('Brackets - prob'!C30:C33,'Brackets - freq'!C30:C33)</f>
        <v/>
      </c>
      <c r="D31" s="51">
        <f>D30</f>
        <v/>
      </c>
      <c r="E31" s="51">
        <f>E30</f>
        <v/>
      </c>
      <c r="F31" s="51">
        <f>F30</f>
        <v/>
      </c>
      <c r="G31" s="51">
        <f>G30</f>
        <v/>
      </c>
      <c r="H31" s="52">
        <f>MAX('Brackets - prob'!B30:B31)</f>
        <v/>
      </c>
      <c r="I31" s="52">
        <f>MAX('Brackets - prob'!C30:C33)</f>
        <v/>
      </c>
      <c r="J31" s="52">
        <f>J30</f>
        <v/>
      </c>
      <c r="K31" s="52">
        <f>K30</f>
        <v/>
      </c>
      <c r="L31" s="52">
        <f>L30</f>
        <v/>
      </c>
      <c r="M31" s="52">
        <f>M30</f>
        <v/>
      </c>
      <c r="N31" s="53">
        <f>AVERAGEIF('Brackets - prob'!B30:B31,"="&amp;H31,'Brackets - freq'!B30:B31)*H31</f>
        <v/>
      </c>
      <c r="O31" s="53">
        <f>AVERAGEIF('Brackets - prob'!C30:C33,"="&amp;I31,'Brackets - freq'!C30:C33)*I31</f>
        <v/>
      </c>
      <c r="P31" s="53">
        <f>P30</f>
        <v/>
      </c>
      <c r="Q31" s="53">
        <f>Q30</f>
        <v/>
      </c>
      <c r="R31" s="53">
        <f>R30</f>
        <v/>
      </c>
      <c r="S31" s="53">
        <f>S30</f>
        <v/>
      </c>
      <c r="T31" s="191">
        <f>Bracket!E$2*('Brackets - prob'!B30-H31)</f>
        <v/>
      </c>
      <c r="U31" s="191">
        <f>Bracket!F$2*('Brackets - prob'!C30-I31)</f>
        <v/>
      </c>
      <c r="V31" s="191">
        <f>Bracket!G$2*('Brackets - prob'!D30-J31)</f>
        <v/>
      </c>
      <c r="W31" s="191">
        <f>Bracket!H$2*('Brackets - prob'!E30-K31)</f>
        <v/>
      </c>
      <c r="X31" s="191">
        <f>Bracket!I$2*('Brackets - prob'!F30-L31)</f>
        <v/>
      </c>
      <c r="Y31" s="191">
        <f>Bracket!J$2*('Brackets - prob'!G30-M31)</f>
        <v/>
      </c>
      <c r="Z31" s="192">
        <f>SUM(T31:$T31)</f>
        <v/>
      </c>
      <c r="AA31" s="192">
        <f>SUM($T31:U31)</f>
        <v/>
      </c>
      <c r="AB31" s="192">
        <f>SUM($T31:V31)</f>
        <v/>
      </c>
      <c r="AC31" s="192">
        <f>SUM($T31:W31)</f>
        <v/>
      </c>
      <c r="AD31" s="192">
        <f>SUM($T31:X31)</f>
        <v/>
      </c>
      <c r="AE31" s="192">
        <f>SUM($T31:Y31)</f>
        <v/>
      </c>
      <c r="AF31" s="193">
        <f>'Brackets - prob'!B30*(1-'Brackets - prob'!B30-2*'Brackets - freq'!B30+2*B31)+B31-B31^2</f>
        <v/>
      </c>
      <c r="AG31" s="193">
        <f>'Brackets - prob'!C30*(1-'Brackets - prob'!C30-2*'Brackets - freq'!C30+2*C31)+C31-C31^2</f>
        <v/>
      </c>
      <c r="AH31" s="193">
        <f>'Brackets - prob'!D30*(1-'Brackets - prob'!D30-2*'Brackets - freq'!D30+2*D31)+D31-D31^2</f>
        <v/>
      </c>
      <c r="AI31" s="193">
        <f>'Brackets - prob'!E30*(1-'Brackets - prob'!E30-2*'Brackets - freq'!E30+2*E31)+E31-E31^2</f>
        <v/>
      </c>
      <c r="AJ31" s="193">
        <f>'Brackets - prob'!F30*(1-'Brackets - prob'!F30-2*'Brackets - freq'!F30+2*F31)+F31-F31^2</f>
        <v/>
      </c>
      <c r="AK31" s="193">
        <f>'Brackets - prob'!G30*(1-'Brackets - prob'!G30-2*'Brackets - freq'!G30+2*G31)+G31-G31^2</f>
        <v/>
      </c>
      <c r="AL31" s="194">
        <f>Bracket!E$2^2*(('Brackets - prob'!B30-H31)*(1+2*B31)-'Brackets - prob'!B30^2+H31^2-2*('Brackets - prob'!B30*'Brackets - freq'!B30-N31))</f>
        <v/>
      </c>
      <c r="AM31" s="194">
        <f>Bracket!F$2^2*(('Brackets - prob'!C30-I31)*(1+2*C31)-'Brackets - prob'!C30^2+I31^2-2*('Brackets - prob'!C30*'Brackets - freq'!C30-O31))</f>
        <v/>
      </c>
      <c r="AN31" s="194">
        <f>Bracket!G$2^2*(('Brackets - prob'!D30-J31)*(1+2*D31)-'Brackets - prob'!D30^2+J31^2-2*('Brackets - prob'!D30*'Brackets - freq'!D30-P31))</f>
        <v/>
      </c>
      <c r="AO31" s="194">
        <f>Bracket!H$2^2*(('Brackets - prob'!E30-K31)*(1+2*E31)-'Brackets - prob'!E30^2+K31^2-2*('Brackets - prob'!E30*'Brackets - freq'!E30-Q31))</f>
        <v/>
      </c>
      <c r="AP31" s="194">
        <f>Bracket!I$2^2*(('Brackets - prob'!F30-L31)*(1+2*F31)-'Brackets - prob'!F30^2+L31^2-2*('Brackets - prob'!F30*'Brackets - freq'!F30-R31))</f>
        <v/>
      </c>
      <c r="AQ31" s="194">
        <f>Bracket!J$2^2*(('Brackets - prob'!G30-M31)*(1+2*G31)-'Brackets - prob'!G30^2+M31^2-2*('Brackets - prob'!G30*'Brackets - freq'!G30-S31))</f>
        <v/>
      </c>
      <c r="AR31" s="192">
        <f>SUM($AL31:AL31)</f>
        <v/>
      </c>
      <c r="AS31" s="192">
        <f>SUM($AL31:AM31)</f>
        <v/>
      </c>
      <c r="AT31" s="192">
        <f>SUM($AL31:AN31)</f>
        <v/>
      </c>
      <c r="AU31" s="192">
        <f>SUM($AL31:AO31)</f>
        <v/>
      </c>
      <c r="AV31" s="192">
        <f>SUM($AL31:AP31)</f>
        <v/>
      </c>
      <c r="AW31" s="192">
        <f>SUM($AL31:AQ31)</f>
        <v/>
      </c>
      <c r="AX31" s="195">
        <f>IF(Z31=0,0,AR31/Z31)</f>
        <v/>
      </c>
      <c r="AY31" s="195">
        <f>IF(AA31=0,0,AS31/AA31)</f>
        <v/>
      </c>
      <c r="AZ31" s="195">
        <f>IF(AB31=0,0,AT31/AB31)</f>
        <v/>
      </c>
      <c r="BA31" s="195">
        <f>IF(AC31=0,0,AU31/AC31)</f>
        <v/>
      </c>
      <c r="BB31" s="195">
        <f>IF(AD31=0,0,AV31/AD31)</f>
        <v/>
      </c>
      <c r="BC31" s="195">
        <f>IF(AE31=0,0,AW31/AE31)</f>
        <v/>
      </c>
      <c r="BD31" s="196">
        <f>IF(OR(AX31=0,AX31&lt;=-1),1,0)</f>
        <v/>
      </c>
      <c r="BE31" s="196">
        <f>IF(OR(AY31=0,AY31&lt;=-1),1,0)</f>
        <v/>
      </c>
      <c r="BF31" s="196">
        <f>IF(OR(AZ31=0,AZ31&lt;=-1),1,0)</f>
        <v/>
      </c>
      <c r="BG31" s="196">
        <f>IF(OR(BA31=0,BA31&lt;=-1),1,0)</f>
        <v/>
      </c>
      <c r="BH31" s="196">
        <f>IF(OR(BB31=0,BB31&lt;=-1),1,0)</f>
        <v/>
      </c>
      <c r="BI31" s="196">
        <f>IF(OR(BC31=0,BC31&lt;=-1),1,0)</f>
        <v/>
      </c>
      <c r="BJ31" s="197">
        <f>IF(AND('Brackets - prob'!B30&gt;H31-0.5,'Brackets - freq'!B30/'Brackets - prob'!B30&lt;N31/H31^2),1,0)</f>
        <v/>
      </c>
      <c r="BK31" s="197">
        <f>IF(AND('Brackets - prob'!C30&gt;I31-0.5,'Brackets - freq'!C30/'Brackets - prob'!C30&lt;O31/I31^2),1,0)</f>
        <v/>
      </c>
      <c r="BL31" s="197">
        <f>IF(AND('Brackets - prob'!D30&gt;J31-0.5,'Brackets - freq'!D30/'Brackets - prob'!D30&lt;P31/J31^2),1,0)</f>
        <v/>
      </c>
      <c r="BM31" s="197">
        <f>IF(AND('Brackets - prob'!E30&gt;K31-0.5,'Brackets - freq'!E30/'Brackets - prob'!E30&lt;Q31/K31^2),1,0)</f>
        <v/>
      </c>
      <c r="BN31" s="197">
        <f>IF(AND('Brackets - prob'!F30&gt;L31-0.5,'Brackets - freq'!F30/'Brackets - prob'!F30&lt;R31/L31^2),1,0)</f>
        <v/>
      </c>
      <c r="BO31" s="197">
        <f>IF(AND('Brackets - prob'!G30&gt;M31-0.5,'Brackets - freq'!G30/'Brackets - prob'!G30&lt;S31/M31^2),1,0)</f>
        <v/>
      </c>
    </row>
    <row r="32">
      <c r="A32" s="41" t="inlineStr">
        <is>
          <t>Florida</t>
        </is>
      </c>
      <c r="B32" s="51">
        <f>B31</f>
        <v/>
      </c>
      <c r="C32" s="51">
        <f>C31</f>
        <v/>
      </c>
      <c r="D32" s="51">
        <f>D31</f>
        <v/>
      </c>
      <c r="E32" s="51">
        <f>E31</f>
        <v/>
      </c>
      <c r="F32" s="51">
        <f>F31</f>
        <v/>
      </c>
      <c r="G32" s="51">
        <f>G31</f>
        <v/>
      </c>
      <c r="H32" s="52">
        <f>H31</f>
        <v/>
      </c>
      <c r="I32" s="52">
        <f>I31</f>
        <v/>
      </c>
      <c r="J32" s="52">
        <f>J31</f>
        <v/>
      </c>
      <c r="K32" s="52">
        <f>K31</f>
        <v/>
      </c>
      <c r="L32" s="52">
        <f>L31</f>
        <v/>
      </c>
      <c r="M32" s="52">
        <f>M31</f>
        <v/>
      </c>
      <c r="N32" s="53">
        <f>N31</f>
        <v/>
      </c>
      <c r="O32" s="53">
        <f>O31</f>
        <v/>
      </c>
      <c r="P32" s="53">
        <f>P31</f>
        <v/>
      </c>
      <c r="Q32" s="53">
        <f>Q31</f>
        <v/>
      </c>
      <c r="R32" s="53">
        <f>R31</f>
        <v/>
      </c>
      <c r="S32" s="53">
        <f>S31</f>
        <v/>
      </c>
      <c r="T32" s="191">
        <f>Bracket!E$2*('Brackets - prob'!B31-H32)</f>
        <v/>
      </c>
      <c r="U32" s="191">
        <f>Bracket!F$2*('Brackets - prob'!C31-I32)</f>
        <v/>
      </c>
      <c r="V32" s="191">
        <f>Bracket!G$2*('Brackets - prob'!D31-J32)</f>
        <v/>
      </c>
      <c r="W32" s="191">
        <f>Bracket!H$2*('Brackets - prob'!E31-K32)</f>
        <v/>
      </c>
      <c r="X32" s="191">
        <f>Bracket!I$2*('Brackets - prob'!F31-L32)</f>
        <v/>
      </c>
      <c r="Y32" s="191">
        <f>Bracket!J$2*('Brackets - prob'!G31-M32)</f>
        <v/>
      </c>
      <c r="Z32" s="192">
        <f>SUM(T32:$T32)</f>
        <v/>
      </c>
      <c r="AA32" s="192">
        <f>SUM($T32:U32)</f>
        <v/>
      </c>
      <c r="AB32" s="192">
        <f>SUM($T32:V32)</f>
        <v/>
      </c>
      <c r="AC32" s="192">
        <f>SUM($T32:W32)</f>
        <v/>
      </c>
      <c r="AD32" s="192">
        <f>SUM($T32:X32)</f>
        <v/>
      </c>
      <c r="AE32" s="192">
        <f>SUM($T32:Y32)</f>
        <v/>
      </c>
      <c r="AF32" s="193">
        <f>'Brackets - prob'!B31*(1-'Brackets - prob'!B31-2*'Brackets - freq'!B31+2*B32)+B32-B32^2</f>
        <v/>
      </c>
      <c r="AG32" s="193">
        <f>'Brackets - prob'!C31*(1-'Brackets - prob'!C31-2*'Brackets - freq'!C31+2*C32)+C32-C32^2</f>
        <v/>
      </c>
      <c r="AH32" s="193">
        <f>'Brackets - prob'!D31*(1-'Brackets - prob'!D31-2*'Brackets - freq'!D31+2*D32)+D32-D32^2</f>
        <v/>
      </c>
      <c r="AI32" s="193">
        <f>'Brackets - prob'!E31*(1-'Brackets - prob'!E31-2*'Brackets - freq'!E31+2*E32)+E32-E32^2</f>
        <v/>
      </c>
      <c r="AJ32" s="193">
        <f>'Brackets - prob'!F31*(1-'Brackets - prob'!F31-2*'Brackets - freq'!F31+2*F32)+F32-F32^2</f>
        <v/>
      </c>
      <c r="AK32" s="193">
        <f>'Brackets - prob'!G31*(1-'Brackets - prob'!G31-2*'Brackets - freq'!G31+2*G32)+G32-G32^2</f>
        <v/>
      </c>
      <c r="AL32" s="194">
        <f>Bracket!E$2^2*(('Brackets - prob'!B31-H32)*(1+2*B32)-'Brackets - prob'!B31^2+H32^2-2*('Brackets - prob'!B31*'Brackets - freq'!B31-N32))</f>
        <v/>
      </c>
      <c r="AM32" s="194">
        <f>Bracket!F$2^2*(('Brackets - prob'!C31-I32)*(1+2*C32)-'Brackets - prob'!C31^2+I32^2-2*('Brackets - prob'!C31*'Brackets - freq'!C31-O32))</f>
        <v/>
      </c>
      <c r="AN32" s="194">
        <f>Bracket!G$2^2*(('Brackets - prob'!D31-J32)*(1+2*D32)-'Brackets - prob'!D31^2+J32^2-2*('Brackets - prob'!D31*'Brackets - freq'!D31-P32))</f>
        <v/>
      </c>
      <c r="AO32" s="194">
        <f>Bracket!H$2^2*(('Brackets - prob'!E31-K32)*(1+2*E32)-'Brackets - prob'!E31^2+K32^2-2*('Brackets - prob'!E31*'Brackets - freq'!E31-Q32))</f>
        <v/>
      </c>
      <c r="AP32" s="194">
        <f>Bracket!I$2^2*(('Brackets - prob'!F31-L32)*(1+2*F32)-'Brackets - prob'!F31^2+L32^2-2*('Brackets - prob'!F31*'Brackets - freq'!F31-R32))</f>
        <v/>
      </c>
      <c r="AQ32" s="194">
        <f>Bracket!J$2^2*(('Brackets - prob'!G31-M32)*(1+2*G32)-'Brackets - prob'!G31^2+M32^2-2*('Brackets - prob'!G31*'Brackets - freq'!G31-S32))</f>
        <v/>
      </c>
      <c r="AR32" s="192">
        <f>SUM($AL32:AL32)</f>
        <v/>
      </c>
      <c r="AS32" s="192">
        <f>SUM($AL32:AM32)</f>
        <v/>
      </c>
      <c r="AT32" s="192">
        <f>SUM($AL32:AN32)</f>
        <v/>
      </c>
      <c r="AU32" s="192">
        <f>SUM($AL32:AO32)</f>
        <v/>
      </c>
      <c r="AV32" s="192">
        <f>SUM($AL32:AP32)</f>
        <v/>
      </c>
      <c r="AW32" s="192">
        <f>SUM($AL32:AQ32)</f>
        <v/>
      </c>
      <c r="AX32" s="195">
        <f>IF(Z32=0,0,AR32/Z32)</f>
        <v/>
      </c>
      <c r="AY32" s="195">
        <f>IF(AA32=0,0,AS32/AA32)</f>
        <v/>
      </c>
      <c r="AZ32" s="195">
        <f>IF(AB32=0,0,AT32/AB32)</f>
        <v/>
      </c>
      <c r="BA32" s="195">
        <f>IF(AC32=0,0,AU32/AC32)</f>
        <v/>
      </c>
      <c r="BB32" s="195">
        <f>IF(AD32=0,0,AV32/AD32)</f>
        <v/>
      </c>
      <c r="BC32" s="195">
        <f>IF(AE32=0,0,AW32/AE32)</f>
        <v/>
      </c>
      <c r="BD32" s="196">
        <f>IF(OR(AX32=0,AX32&lt;=-1),1,0)</f>
        <v/>
      </c>
      <c r="BE32" s="196">
        <f>IF(OR(AY32=0,AY32&lt;=-1),1,0)</f>
        <v/>
      </c>
      <c r="BF32" s="196">
        <f>IF(OR(AZ32=0,AZ32&lt;=-1),1,0)</f>
        <v/>
      </c>
      <c r="BG32" s="196">
        <f>IF(OR(BA32=0,BA32&lt;=-1),1,0)</f>
        <v/>
      </c>
      <c r="BH32" s="196">
        <f>IF(OR(BB32=0,BB32&lt;=-1),1,0)</f>
        <v/>
      </c>
      <c r="BI32" s="196">
        <f>IF(OR(BC32=0,BC32&lt;=-1),1,0)</f>
        <v/>
      </c>
      <c r="BJ32" s="197">
        <f>IF(AND('Brackets - prob'!B31&gt;H32-0.5,'Brackets - freq'!B31/'Brackets - prob'!B31&lt;N32/H32^2),1,0)</f>
        <v/>
      </c>
      <c r="BK32" s="197">
        <f>IF(AND('Brackets - prob'!C31&gt;I32-0.5,'Brackets - freq'!C31/'Brackets - prob'!C31&lt;O32/I32^2),1,0)</f>
        <v/>
      </c>
      <c r="BL32" s="197">
        <f>IF(AND('Brackets - prob'!D31&gt;J32-0.5,'Brackets - freq'!D31/'Brackets - prob'!D31&lt;P32/J32^2),1,0)</f>
        <v/>
      </c>
      <c r="BM32" s="197">
        <f>IF(AND('Brackets - prob'!E31&gt;K32-0.5,'Brackets - freq'!E31/'Brackets - prob'!E31&lt;Q32/K32^2),1,0)</f>
        <v/>
      </c>
      <c r="BN32" s="197">
        <f>IF(AND('Brackets - prob'!F31&gt;L32-0.5,'Brackets - freq'!F31/'Brackets - prob'!F31&lt;R32/L32^2),1,0)</f>
        <v/>
      </c>
      <c r="BO32" s="197">
        <f>IF(AND('Brackets - prob'!G31&gt;M32-0.5,'Brackets - freq'!G31/'Brackets - prob'!G31&lt;S32/M32^2),1,0)</f>
        <v/>
      </c>
    </row>
    <row r="33">
      <c r="A33" s="41" t="inlineStr">
        <is>
          <t>Michigan</t>
        </is>
      </c>
      <c r="B33" s="51">
        <f>SUMPRODUCT('Brackets - prob'!B32:B33,'Brackets - freq'!B32:B33)</f>
        <v/>
      </c>
      <c r="C33" s="51">
        <f>C32</f>
        <v/>
      </c>
      <c r="D33" s="51">
        <f>D32</f>
        <v/>
      </c>
      <c r="E33" s="51">
        <f>E32</f>
        <v/>
      </c>
      <c r="F33" s="51">
        <f>F32</f>
        <v/>
      </c>
      <c r="G33" s="51">
        <f>G32</f>
        <v/>
      </c>
      <c r="H33" s="52">
        <f>MAX('Brackets - prob'!B32:B33)</f>
        <v/>
      </c>
      <c r="I33" s="52">
        <f>I32</f>
        <v/>
      </c>
      <c r="J33" s="52">
        <f>J32</f>
        <v/>
      </c>
      <c r="K33" s="52">
        <f>K32</f>
        <v/>
      </c>
      <c r="L33" s="52">
        <f>L32</f>
        <v/>
      </c>
      <c r="M33" s="52">
        <f>M32</f>
        <v/>
      </c>
      <c r="N33" s="53">
        <f>AVERAGEIF('Brackets - prob'!B32:B33,"="&amp;H33,'Brackets - freq'!B32:B33)*H33</f>
        <v/>
      </c>
      <c r="O33" s="53">
        <f>O32</f>
        <v/>
      </c>
      <c r="P33" s="53">
        <f>P32</f>
        <v/>
      </c>
      <c r="Q33" s="53">
        <f>Q32</f>
        <v/>
      </c>
      <c r="R33" s="53">
        <f>R32</f>
        <v/>
      </c>
      <c r="S33" s="53">
        <f>S32</f>
        <v/>
      </c>
      <c r="T33" s="191">
        <f>Bracket!E$2*('Brackets - prob'!B32-H33)</f>
        <v/>
      </c>
      <c r="U33" s="191">
        <f>Bracket!F$2*('Brackets - prob'!C32-I33)</f>
        <v/>
      </c>
      <c r="V33" s="191">
        <f>Bracket!G$2*('Brackets - prob'!D32-J33)</f>
        <v/>
      </c>
      <c r="W33" s="191">
        <f>Bracket!H$2*('Brackets - prob'!E32-K33)</f>
        <v/>
      </c>
      <c r="X33" s="191">
        <f>Bracket!I$2*('Brackets - prob'!F32-L33)</f>
        <v/>
      </c>
      <c r="Y33" s="191">
        <f>Bracket!J$2*('Brackets - prob'!G32-M33)</f>
        <v/>
      </c>
      <c r="Z33" s="192">
        <f>SUM(T33:$T33)</f>
        <v/>
      </c>
      <c r="AA33" s="192">
        <f>SUM($T33:U33)</f>
        <v/>
      </c>
      <c r="AB33" s="192">
        <f>SUM($T33:V33)</f>
        <v/>
      </c>
      <c r="AC33" s="192">
        <f>SUM($T33:W33)</f>
        <v/>
      </c>
      <c r="AD33" s="192">
        <f>SUM($T33:X33)</f>
        <v/>
      </c>
      <c r="AE33" s="192">
        <f>SUM($T33:Y33)</f>
        <v/>
      </c>
      <c r="AF33" s="193">
        <f>'Brackets - prob'!B32*(1-'Brackets - prob'!B32-2*'Brackets - freq'!B32+2*B33)+B33-B33^2</f>
        <v/>
      </c>
      <c r="AG33" s="193">
        <f>'Brackets - prob'!C32*(1-'Brackets - prob'!C32-2*'Brackets - freq'!C32+2*C33)+C33-C33^2</f>
        <v/>
      </c>
      <c r="AH33" s="193">
        <f>'Brackets - prob'!D32*(1-'Brackets - prob'!D32-2*'Brackets - freq'!D32+2*D33)+D33-D33^2</f>
        <v/>
      </c>
      <c r="AI33" s="193">
        <f>'Brackets - prob'!E32*(1-'Brackets - prob'!E32-2*'Brackets - freq'!E32+2*E33)+E33-E33^2</f>
        <v/>
      </c>
      <c r="AJ33" s="193">
        <f>'Brackets - prob'!F32*(1-'Brackets - prob'!F32-2*'Brackets - freq'!F32+2*F33)+F33-F33^2</f>
        <v/>
      </c>
      <c r="AK33" s="193">
        <f>'Brackets - prob'!G32*(1-'Brackets - prob'!G32-2*'Brackets - freq'!G32+2*G33)+G33-G33^2</f>
        <v/>
      </c>
      <c r="AL33" s="194">
        <f>Bracket!E$2^2*(('Brackets - prob'!B32-H33)*(1+2*B33)-'Brackets - prob'!B32^2+H33^2-2*('Brackets - prob'!B32*'Brackets - freq'!B32-N33))</f>
        <v/>
      </c>
      <c r="AM33" s="194">
        <f>Bracket!F$2^2*(('Brackets - prob'!C32-I33)*(1+2*C33)-'Brackets - prob'!C32^2+I33^2-2*('Brackets - prob'!C32*'Brackets - freq'!C32-O33))</f>
        <v/>
      </c>
      <c r="AN33" s="194">
        <f>Bracket!G$2^2*(('Brackets - prob'!D32-J33)*(1+2*D33)-'Brackets - prob'!D32^2+J33^2-2*('Brackets - prob'!D32*'Brackets - freq'!D32-P33))</f>
        <v/>
      </c>
      <c r="AO33" s="194">
        <f>Bracket!H$2^2*(('Brackets - prob'!E32-K33)*(1+2*E33)-'Brackets - prob'!E32^2+K33^2-2*('Brackets - prob'!E32*'Brackets - freq'!E32-Q33))</f>
        <v/>
      </c>
      <c r="AP33" s="194">
        <f>Bracket!I$2^2*(('Brackets - prob'!F32-L33)*(1+2*F33)-'Brackets - prob'!F32^2+L33^2-2*('Brackets - prob'!F32*'Brackets - freq'!F32-R33))</f>
        <v/>
      </c>
      <c r="AQ33" s="194">
        <f>Bracket!J$2^2*(('Brackets - prob'!G32-M33)*(1+2*G33)-'Brackets - prob'!G32^2+M33^2-2*('Brackets - prob'!G32*'Brackets - freq'!G32-S33))</f>
        <v/>
      </c>
      <c r="AR33" s="192">
        <f>SUM($AL33:AL33)</f>
        <v/>
      </c>
      <c r="AS33" s="192">
        <f>SUM($AL33:AM33)</f>
        <v/>
      </c>
      <c r="AT33" s="192">
        <f>SUM($AL33:AN33)</f>
        <v/>
      </c>
      <c r="AU33" s="192">
        <f>SUM($AL33:AO33)</f>
        <v/>
      </c>
      <c r="AV33" s="192">
        <f>SUM($AL33:AP33)</f>
        <v/>
      </c>
      <c r="AW33" s="192">
        <f>SUM($AL33:AQ33)</f>
        <v/>
      </c>
      <c r="AX33" s="195">
        <f>IF(Z33=0,0,AR33/Z33)</f>
        <v/>
      </c>
      <c r="AY33" s="195">
        <f>IF(AA33=0,0,AS33/AA33)</f>
        <v/>
      </c>
      <c r="AZ33" s="195">
        <f>IF(AB33=0,0,AT33/AB33)</f>
        <v/>
      </c>
      <c r="BA33" s="195">
        <f>IF(AC33=0,0,AU33/AC33)</f>
        <v/>
      </c>
      <c r="BB33" s="195">
        <f>IF(AD33=0,0,AV33/AD33)</f>
        <v/>
      </c>
      <c r="BC33" s="195">
        <f>IF(AE33=0,0,AW33/AE33)</f>
        <v/>
      </c>
      <c r="BD33" s="196">
        <f>IF(OR(AX33=0,AX33&lt;=-1),1,0)</f>
        <v/>
      </c>
      <c r="BE33" s="196">
        <f>IF(OR(AY33=0,AY33&lt;=-1),1,0)</f>
        <v/>
      </c>
      <c r="BF33" s="196">
        <f>IF(OR(AZ33=0,AZ33&lt;=-1),1,0)</f>
        <v/>
      </c>
      <c r="BG33" s="196">
        <f>IF(OR(BA33=0,BA33&lt;=-1),1,0)</f>
        <v/>
      </c>
      <c r="BH33" s="196">
        <f>IF(OR(BB33=0,BB33&lt;=-1),1,0)</f>
        <v/>
      </c>
      <c r="BI33" s="196">
        <f>IF(OR(BC33=0,BC33&lt;=-1),1,0)</f>
        <v/>
      </c>
      <c r="BJ33" s="197">
        <f>IF(AND('Brackets - prob'!B32&gt;H33-0.5,'Brackets - freq'!B32/'Brackets - prob'!B32&lt;N33/H33^2),1,0)</f>
        <v/>
      </c>
      <c r="BK33" s="197">
        <f>IF(AND('Brackets - prob'!C32&gt;I33-0.5,'Brackets - freq'!C32/'Brackets - prob'!C32&lt;O33/I33^2),1,0)</f>
        <v/>
      </c>
      <c r="BL33" s="197">
        <f>IF(AND('Brackets - prob'!D32&gt;J33-0.5,'Brackets - freq'!D32/'Brackets - prob'!D32&lt;P33/J33^2),1,0)</f>
        <v/>
      </c>
      <c r="BM33" s="197">
        <f>IF(AND('Brackets - prob'!E32&gt;K33-0.5,'Brackets - freq'!E32/'Brackets - prob'!E32&lt;Q33/K33^2),1,0)</f>
        <v/>
      </c>
      <c r="BN33" s="197">
        <f>IF(AND('Brackets - prob'!F32&gt;L33-0.5,'Brackets - freq'!F32/'Brackets - prob'!F32&lt;R33/L33^2),1,0)</f>
        <v/>
      </c>
      <c r="BO33" s="197">
        <f>IF(AND('Brackets - prob'!G32&gt;M33-0.5,'Brackets - freq'!G32/'Brackets - prob'!G32&lt;S33/M33^2),1,0)</f>
        <v/>
      </c>
    </row>
    <row r="34">
      <c r="A34" s="41" t="inlineStr">
        <is>
          <t>Montana</t>
        </is>
      </c>
      <c r="B34" s="51">
        <f>B33</f>
        <v/>
      </c>
      <c r="C34" s="51">
        <f>C33</f>
        <v/>
      </c>
      <c r="D34" s="51">
        <f>D33</f>
        <v/>
      </c>
      <c r="E34" s="51">
        <f>E33</f>
        <v/>
      </c>
      <c r="F34" s="51">
        <f>F33</f>
        <v/>
      </c>
      <c r="G34" s="51">
        <f>G33</f>
        <v/>
      </c>
      <c r="H34" s="52">
        <f>H33</f>
        <v/>
      </c>
      <c r="I34" s="52">
        <f>I33</f>
        <v/>
      </c>
      <c r="J34" s="52">
        <f>J33</f>
        <v/>
      </c>
      <c r="K34" s="52">
        <f>K33</f>
        <v/>
      </c>
      <c r="L34" s="52">
        <f>L33</f>
        <v/>
      </c>
      <c r="M34" s="52">
        <f>M33</f>
        <v/>
      </c>
      <c r="N34" s="53">
        <f>N33</f>
        <v/>
      </c>
      <c r="O34" s="53">
        <f>O33</f>
        <v/>
      </c>
      <c r="P34" s="53">
        <f>P33</f>
        <v/>
      </c>
      <c r="Q34" s="53">
        <f>Q33</f>
        <v/>
      </c>
      <c r="R34" s="53">
        <f>R33</f>
        <v/>
      </c>
      <c r="S34" s="53">
        <f>S33</f>
        <v/>
      </c>
      <c r="T34" s="191">
        <f>Bracket!E$2*('Brackets - prob'!B33-H34)</f>
        <v/>
      </c>
      <c r="U34" s="191">
        <f>Bracket!F$2*('Brackets - prob'!C33-I34)</f>
        <v/>
      </c>
      <c r="V34" s="191">
        <f>Bracket!G$2*('Brackets - prob'!D33-J34)</f>
        <v/>
      </c>
      <c r="W34" s="191">
        <f>Bracket!H$2*('Brackets - prob'!E33-K34)</f>
        <v/>
      </c>
      <c r="X34" s="191">
        <f>Bracket!I$2*('Brackets - prob'!F33-L34)</f>
        <v/>
      </c>
      <c r="Y34" s="191">
        <f>Bracket!J$2*('Brackets - prob'!G33-M34)</f>
        <v/>
      </c>
      <c r="Z34" s="192">
        <f>SUM(T34:$T34)</f>
        <v/>
      </c>
      <c r="AA34" s="192">
        <f>SUM($T34:U34)</f>
        <v/>
      </c>
      <c r="AB34" s="192">
        <f>SUM($T34:V34)</f>
        <v/>
      </c>
      <c r="AC34" s="192">
        <f>SUM($T34:W34)</f>
        <v/>
      </c>
      <c r="AD34" s="192">
        <f>SUM($T34:X34)</f>
        <v/>
      </c>
      <c r="AE34" s="192">
        <f>SUM($T34:Y34)</f>
        <v/>
      </c>
      <c r="AF34" s="193">
        <f>'Brackets - prob'!B33*(1-'Brackets - prob'!B33-2*'Brackets - freq'!B33+2*B34)+B34-B34^2</f>
        <v/>
      </c>
      <c r="AG34" s="193">
        <f>'Brackets - prob'!C33*(1-'Brackets - prob'!C33-2*'Brackets - freq'!C33+2*C34)+C34-C34^2</f>
        <v/>
      </c>
      <c r="AH34" s="193">
        <f>'Brackets - prob'!D33*(1-'Brackets - prob'!D33-2*'Brackets - freq'!D33+2*D34)+D34-D34^2</f>
        <v/>
      </c>
      <c r="AI34" s="193">
        <f>'Brackets - prob'!E33*(1-'Brackets - prob'!E33-2*'Brackets - freq'!E33+2*E34)+E34-E34^2</f>
        <v/>
      </c>
      <c r="AJ34" s="193">
        <f>'Brackets - prob'!F33*(1-'Brackets - prob'!F33-2*'Brackets - freq'!F33+2*F34)+F34-F34^2</f>
        <v/>
      </c>
      <c r="AK34" s="193">
        <f>'Brackets - prob'!G33*(1-'Brackets - prob'!G33-2*'Brackets - freq'!G33+2*G34)+G34-G34^2</f>
        <v/>
      </c>
      <c r="AL34" s="194">
        <f>Bracket!E$2^2*(('Brackets - prob'!B33-H34)*(1+2*B34)-'Brackets - prob'!B33^2+H34^2-2*('Brackets - prob'!B33*'Brackets - freq'!B33-N34))</f>
        <v/>
      </c>
      <c r="AM34" s="194">
        <f>Bracket!F$2^2*(('Brackets - prob'!C33-I34)*(1+2*C34)-'Brackets - prob'!C33^2+I34^2-2*('Brackets - prob'!C33*'Brackets - freq'!C33-O34))</f>
        <v/>
      </c>
      <c r="AN34" s="194">
        <f>Bracket!G$2^2*(('Brackets - prob'!D33-J34)*(1+2*D34)-'Brackets - prob'!D33^2+J34^2-2*('Brackets - prob'!D33*'Brackets - freq'!D33-P34))</f>
        <v/>
      </c>
      <c r="AO34" s="194">
        <f>Bracket!H$2^2*(('Brackets - prob'!E33-K34)*(1+2*E34)-'Brackets - prob'!E33^2+K34^2-2*('Brackets - prob'!E33*'Brackets - freq'!E33-Q34))</f>
        <v/>
      </c>
      <c r="AP34" s="194">
        <f>Bracket!I$2^2*(('Brackets - prob'!F33-L34)*(1+2*F34)-'Brackets - prob'!F33^2+L34^2-2*('Brackets - prob'!F33*'Brackets - freq'!F33-R34))</f>
        <v/>
      </c>
      <c r="AQ34" s="194">
        <f>Bracket!J$2^2*(('Brackets - prob'!G33-M34)*(1+2*G34)-'Brackets - prob'!G33^2+M34^2-2*('Brackets - prob'!G33*'Brackets - freq'!G33-S34))</f>
        <v/>
      </c>
      <c r="AR34" s="192">
        <f>SUM($AL34:AL34)</f>
        <v/>
      </c>
      <c r="AS34" s="192">
        <f>SUM($AL34:AM34)</f>
        <v/>
      </c>
      <c r="AT34" s="192">
        <f>SUM($AL34:AN34)</f>
        <v/>
      </c>
      <c r="AU34" s="192">
        <f>SUM($AL34:AO34)</f>
        <v/>
      </c>
      <c r="AV34" s="192">
        <f>SUM($AL34:AP34)</f>
        <v/>
      </c>
      <c r="AW34" s="192">
        <f>SUM($AL34:AQ34)</f>
        <v/>
      </c>
      <c r="AX34" s="195">
        <f>IF(Z34=0,0,AR34/Z34)</f>
        <v/>
      </c>
      <c r="AY34" s="195">
        <f>IF(AA34=0,0,AS34/AA34)</f>
        <v/>
      </c>
      <c r="AZ34" s="195">
        <f>IF(AB34=0,0,AT34/AB34)</f>
        <v/>
      </c>
      <c r="BA34" s="195">
        <f>IF(AC34=0,0,AU34/AC34)</f>
        <v/>
      </c>
      <c r="BB34" s="195">
        <f>IF(AD34=0,0,AV34/AD34)</f>
        <v/>
      </c>
      <c r="BC34" s="195">
        <f>IF(AE34=0,0,AW34/AE34)</f>
        <v/>
      </c>
      <c r="BD34" s="196">
        <f>IF(OR(AX34=0,AX34&lt;=-1),1,0)</f>
        <v/>
      </c>
      <c r="BE34" s="196">
        <f>IF(OR(AY34=0,AY34&lt;=-1),1,0)</f>
        <v/>
      </c>
      <c r="BF34" s="196">
        <f>IF(OR(AZ34=0,AZ34&lt;=-1),1,0)</f>
        <v/>
      </c>
      <c r="BG34" s="196">
        <f>IF(OR(BA34=0,BA34&lt;=-1),1,0)</f>
        <v/>
      </c>
      <c r="BH34" s="196">
        <f>IF(OR(BB34=0,BB34&lt;=-1),1,0)</f>
        <v/>
      </c>
      <c r="BI34" s="196">
        <f>IF(OR(BC34=0,BC34&lt;=-1),1,0)</f>
        <v/>
      </c>
      <c r="BJ34" s="197">
        <f>IF(AND('Brackets - prob'!B33&gt;H34-0.5,'Brackets - freq'!B33/'Brackets - prob'!B33&lt;N34/H34^2),1,0)</f>
        <v/>
      </c>
      <c r="BK34" s="197">
        <f>IF(AND('Brackets - prob'!C33&gt;I34-0.5,'Brackets - freq'!C33/'Brackets - prob'!C33&lt;O34/I34^2),1,0)</f>
        <v/>
      </c>
      <c r="BL34" s="197">
        <f>IF(AND('Brackets - prob'!D33&gt;J34-0.5,'Brackets - freq'!D33/'Brackets - prob'!D33&lt;P34/J34^2),1,0)</f>
        <v/>
      </c>
      <c r="BM34" s="197">
        <f>IF(AND('Brackets - prob'!E33&gt;K34-0.5,'Brackets - freq'!E33/'Brackets - prob'!E33&lt;Q34/K34^2),1,0)</f>
        <v/>
      </c>
      <c r="BN34" s="197">
        <f>IF(AND('Brackets - prob'!F33&gt;L34-0.5,'Brackets - freq'!F33/'Brackets - prob'!F33&lt;R34/L34^2),1,0)</f>
        <v/>
      </c>
      <c r="BO34" s="197">
        <f>IF(AND('Brackets - prob'!G33&gt;M34-0.5,'Brackets - freq'!G33/'Brackets - prob'!G33&lt;S34/M34^2),1,0)</f>
        <v/>
      </c>
    </row>
    <row r="35">
      <c r="A35" s="41" t="inlineStr">
        <is>
          <t>Virginia</t>
        </is>
      </c>
      <c r="B35" s="51">
        <f>SUMPRODUCT('Brackets - prob'!B34:B35,'Brackets - freq'!B34:B35)</f>
        <v/>
      </c>
      <c r="C35" s="51">
        <f>SUMPRODUCT('Brackets - prob'!C34:C37,'Brackets - freq'!C34:C37)</f>
        <v/>
      </c>
      <c r="D35" s="51">
        <f>SUMPRODUCT('Brackets - prob'!D34:D41,'Brackets - freq'!D34:D41)</f>
        <v/>
      </c>
      <c r="E35" s="51">
        <f>SUMPRODUCT('Brackets - prob'!E34:E49,'Brackets - freq'!E34:E49)</f>
        <v/>
      </c>
      <c r="F35" s="51">
        <f>SUMPRODUCT('Brackets - prob'!F34:F65,'Brackets - freq'!F34:F65)</f>
        <v/>
      </c>
      <c r="G35" s="51">
        <f>G34</f>
        <v/>
      </c>
      <c r="H35" s="52">
        <f>MAX('Brackets - prob'!B34:B35)</f>
        <v/>
      </c>
      <c r="I35" s="52">
        <f>MAX('Brackets - prob'!C34:C37)</f>
        <v/>
      </c>
      <c r="J35" s="52">
        <f>MAX('Brackets - prob'!D34:D41)</f>
        <v/>
      </c>
      <c r="K35" s="52">
        <f>MAX('Brackets - prob'!E34:E49)</f>
        <v/>
      </c>
      <c r="L35" s="52">
        <f>MAX('Brackets - prob'!F34:F65)</f>
        <v/>
      </c>
      <c r="M35" s="52">
        <f>M34</f>
        <v/>
      </c>
      <c r="N35" s="53">
        <f>AVERAGEIF('Brackets - prob'!B34:B35,"="&amp;H35,'Brackets - freq'!B34:B35)*H35</f>
        <v/>
      </c>
      <c r="O35" s="53">
        <f>AVERAGEIF('Brackets - prob'!C34:C37,"="&amp;I35,'Brackets - freq'!C34:C37)*I35</f>
        <v/>
      </c>
      <c r="P35" s="53">
        <f>AVERAGEIF('Brackets - prob'!D34:D41,"="&amp;J35,'Brackets - freq'!D34:D41)*J35</f>
        <v/>
      </c>
      <c r="Q35" s="53">
        <f>AVERAGEIF('Brackets - prob'!E34:E49,"="&amp;K35,'Brackets - freq'!E34:E49)*K35</f>
        <v/>
      </c>
      <c r="R35" s="53">
        <f>AVERAGEIF('Brackets - prob'!F34:F65,"="&amp;L35,'Brackets - freq'!F34:F65)*L35</f>
        <v/>
      </c>
      <c r="S35" s="53">
        <f>S34</f>
        <v/>
      </c>
      <c r="T35" s="191">
        <f>Bracket!E$2*('Brackets - prob'!B34-H35)</f>
        <v/>
      </c>
      <c r="U35" s="191">
        <f>Bracket!F$2*('Brackets - prob'!C34-I35)</f>
        <v/>
      </c>
      <c r="V35" s="191">
        <f>Bracket!G$2*('Brackets - prob'!D34-J35)</f>
        <v/>
      </c>
      <c r="W35" s="191">
        <f>Bracket!H$2*('Brackets - prob'!E34-K35)</f>
        <v/>
      </c>
      <c r="X35" s="191">
        <f>Bracket!I$2*('Brackets - prob'!F34-L35)</f>
        <v/>
      </c>
      <c r="Y35" s="191">
        <f>Bracket!J$2*('Brackets - prob'!G34-M35)</f>
        <v/>
      </c>
      <c r="Z35" s="192">
        <f>SUM(T35:$T35)</f>
        <v/>
      </c>
      <c r="AA35" s="192">
        <f>SUM($T35:U35)</f>
        <v/>
      </c>
      <c r="AB35" s="192">
        <f>SUM($T35:V35)</f>
        <v/>
      </c>
      <c r="AC35" s="192">
        <f>SUM($T35:W35)</f>
        <v/>
      </c>
      <c r="AD35" s="192">
        <f>SUM($T35:X35)</f>
        <v/>
      </c>
      <c r="AE35" s="192">
        <f>SUM($T35:Y35)</f>
        <v/>
      </c>
      <c r="AF35" s="193">
        <f>'Brackets - prob'!B34*(1-'Brackets - prob'!B34-2*'Brackets - freq'!B34+2*B35)+B35-B35^2</f>
        <v/>
      </c>
      <c r="AG35" s="193">
        <f>'Brackets - prob'!C34*(1-'Brackets - prob'!C34-2*'Brackets - freq'!C34+2*C35)+C35-C35^2</f>
        <v/>
      </c>
      <c r="AH35" s="193">
        <f>'Brackets - prob'!D34*(1-'Brackets - prob'!D34-2*'Brackets - freq'!D34+2*D35)+D35-D35^2</f>
        <v/>
      </c>
      <c r="AI35" s="193">
        <f>'Brackets - prob'!E34*(1-'Brackets - prob'!E34-2*'Brackets - freq'!E34+2*E35)+E35-E35^2</f>
        <v/>
      </c>
      <c r="AJ35" s="193">
        <f>'Brackets - prob'!F34*(1-'Brackets - prob'!F34-2*'Brackets - freq'!F34+2*F35)+F35-F35^2</f>
        <v/>
      </c>
      <c r="AK35" s="193">
        <f>'Brackets - prob'!G34*(1-'Brackets - prob'!G34-2*'Brackets - freq'!G34+2*G35)+G35-G35^2</f>
        <v/>
      </c>
      <c r="AL35" s="194">
        <f>Bracket!E$2^2*(('Brackets - prob'!B34-H35)*(1+2*B35)-'Brackets - prob'!B34^2+H35^2-2*('Brackets - prob'!B34*'Brackets - freq'!B34-N35))</f>
        <v/>
      </c>
      <c r="AM35" s="194">
        <f>Bracket!F$2^2*(('Brackets - prob'!C34-I35)*(1+2*C35)-'Brackets - prob'!C34^2+I35^2-2*('Brackets - prob'!C34*'Brackets - freq'!C34-O35))</f>
        <v/>
      </c>
      <c r="AN35" s="194">
        <f>Bracket!G$2^2*(('Brackets - prob'!D34-J35)*(1+2*D35)-'Brackets - prob'!D34^2+J35^2-2*('Brackets - prob'!D34*'Brackets - freq'!D34-P35))</f>
        <v/>
      </c>
      <c r="AO35" s="194">
        <f>Bracket!H$2^2*(('Brackets - prob'!E34-K35)*(1+2*E35)-'Brackets - prob'!E34^2+K35^2-2*('Brackets - prob'!E34*'Brackets - freq'!E34-Q35))</f>
        <v/>
      </c>
      <c r="AP35" s="194">
        <f>Bracket!I$2^2*(('Brackets - prob'!F34-L35)*(1+2*F35)-'Brackets - prob'!F34^2+L35^2-2*('Brackets - prob'!F34*'Brackets - freq'!F34-R35))</f>
        <v/>
      </c>
      <c r="AQ35" s="194">
        <f>Bracket!J$2^2*(('Brackets - prob'!G34-M35)*(1+2*G35)-'Brackets - prob'!G34^2+M35^2-2*('Brackets - prob'!G34*'Brackets - freq'!G34-S35))</f>
        <v/>
      </c>
      <c r="AR35" s="192">
        <f>SUM($AL35:AL35)</f>
        <v/>
      </c>
      <c r="AS35" s="192">
        <f>SUM($AL35:AM35)</f>
        <v/>
      </c>
      <c r="AT35" s="192">
        <f>SUM($AL35:AN35)</f>
        <v/>
      </c>
      <c r="AU35" s="192">
        <f>SUM($AL35:AO35)</f>
        <v/>
      </c>
      <c r="AV35" s="192">
        <f>SUM($AL35:AP35)</f>
        <v/>
      </c>
      <c r="AW35" s="192">
        <f>SUM($AL35:AQ35)</f>
        <v/>
      </c>
      <c r="AX35" s="195">
        <f>IF(Z35=0,0,AR35/Z35)</f>
        <v/>
      </c>
      <c r="AY35" s="195">
        <f>IF(AA35=0,0,AS35/AA35)</f>
        <v/>
      </c>
      <c r="AZ35" s="195">
        <f>IF(AB35=0,0,AT35/AB35)</f>
        <v/>
      </c>
      <c r="BA35" s="195">
        <f>IF(AC35=0,0,AU35/AC35)</f>
        <v/>
      </c>
      <c r="BB35" s="195">
        <f>IF(AD35=0,0,AV35/AD35)</f>
        <v/>
      </c>
      <c r="BC35" s="195">
        <f>IF(AE35=0,0,AW35/AE35)</f>
        <v/>
      </c>
      <c r="BD35" s="196">
        <f>IF(OR(AX35=0,AX35&lt;=-1),1,0)</f>
        <v/>
      </c>
      <c r="BE35" s="196">
        <f>IF(OR(AY35=0,AY35&lt;=-1),1,0)</f>
        <v/>
      </c>
      <c r="BF35" s="196">
        <f>IF(OR(AZ35=0,AZ35&lt;=-1),1,0)</f>
        <v/>
      </c>
      <c r="BG35" s="196">
        <f>IF(OR(BA35=0,BA35&lt;=-1),1,0)</f>
        <v/>
      </c>
      <c r="BH35" s="196">
        <f>IF(OR(BB35=0,BB35&lt;=-1),1,0)</f>
        <v/>
      </c>
      <c r="BI35" s="196">
        <f>IF(OR(BC35=0,BC35&lt;=-1),1,0)</f>
        <v/>
      </c>
      <c r="BJ35" s="197">
        <f>IF(AND('Brackets - prob'!B34&gt;H35-0.5,'Brackets - freq'!B34/'Brackets - prob'!B34&lt;N35/H35^2),1,0)</f>
        <v/>
      </c>
      <c r="BK35" s="197">
        <f>IF(AND('Brackets - prob'!C34&gt;I35-0.5,'Brackets - freq'!C34/'Brackets - prob'!C34&lt;O35/I35^2),1,0)</f>
        <v/>
      </c>
      <c r="BL35" s="197">
        <f>IF(AND('Brackets - prob'!D34&gt;J35-0.5,'Brackets - freq'!D34/'Brackets - prob'!D34&lt;P35/J35^2),1,0)</f>
        <v/>
      </c>
      <c r="BM35" s="197">
        <f>IF(AND('Brackets - prob'!E34&gt;K35-0.5,'Brackets - freq'!E34/'Brackets - prob'!E34&lt;Q35/K35^2),1,0)</f>
        <v/>
      </c>
      <c r="BN35" s="197">
        <f>IF(AND('Brackets - prob'!F34&gt;L35-0.5,'Brackets - freq'!F34/'Brackets - prob'!F34&lt;R35/L35^2),1,0)</f>
        <v/>
      </c>
      <c r="BO35" s="197">
        <f>IF(AND('Brackets - prob'!G34&gt;M35-0.5,'Brackets - freq'!G34/'Brackets - prob'!G34&lt;S35/M35^2),1,0)</f>
        <v/>
      </c>
    </row>
    <row r="36">
      <c r="A36" s="41" t="inlineStr">
        <is>
          <t>Gardner-Webb</t>
        </is>
      </c>
      <c r="B36" s="51">
        <f>B35</f>
        <v/>
      </c>
      <c r="C36" s="51">
        <f>C35</f>
        <v/>
      </c>
      <c r="D36" s="51">
        <f>D35</f>
        <v/>
      </c>
      <c r="E36" s="51">
        <f>E35</f>
        <v/>
      </c>
      <c r="F36" s="51">
        <f>F35</f>
        <v/>
      </c>
      <c r="G36" s="51">
        <f>G35</f>
        <v/>
      </c>
      <c r="H36" s="52">
        <f>H35</f>
        <v/>
      </c>
      <c r="I36" s="52">
        <f>I35</f>
        <v/>
      </c>
      <c r="J36" s="52">
        <f>J35</f>
        <v/>
      </c>
      <c r="K36" s="52">
        <f>K35</f>
        <v/>
      </c>
      <c r="L36" s="52">
        <f>L35</f>
        <v/>
      </c>
      <c r="M36" s="52">
        <f>M35</f>
        <v/>
      </c>
      <c r="N36" s="53">
        <f>N35</f>
        <v/>
      </c>
      <c r="O36" s="53">
        <f>O35</f>
        <v/>
      </c>
      <c r="P36" s="53">
        <f>P35</f>
        <v/>
      </c>
      <c r="Q36" s="53">
        <f>Q35</f>
        <v/>
      </c>
      <c r="R36" s="53">
        <f>R35</f>
        <v/>
      </c>
      <c r="S36" s="53">
        <f>S35</f>
        <v/>
      </c>
      <c r="T36" s="191">
        <f>Bracket!E$2*('Brackets - prob'!B35-H36)</f>
        <v/>
      </c>
      <c r="U36" s="191">
        <f>Bracket!F$2*('Brackets - prob'!C35-I36)</f>
        <v/>
      </c>
      <c r="V36" s="191">
        <f>Bracket!G$2*('Brackets - prob'!D35-J36)</f>
        <v/>
      </c>
      <c r="W36" s="191">
        <f>Bracket!H$2*('Brackets - prob'!E35-K36)</f>
        <v/>
      </c>
      <c r="X36" s="191">
        <f>Bracket!I$2*('Brackets - prob'!F35-L36)</f>
        <v/>
      </c>
      <c r="Y36" s="191">
        <f>Bracket!J$2*('Brackets - prob'!G35-M36)</f>
        <v/>
      </c>
      <c r="Z36" s="192">
        <f>SUM(T36:$T36)</f>
        <v/>
      </c>
      <c r="AA36" s="192">
        <f>SUM($T36:U36)</f>
        <v/>
      </c>
      <c r="AB36" s="192">
        <f>SUM($T36:V36)</f>
        <v/>
      </c>
      <c r="AC36" s="192">
        <f>SUM($T36:W36)</f>
        <v/>
      </c>
      <c r="AD36" s="192">
        <f>SUM($T36:X36)</f>
        <v/>
      </c>
      <c r="AE36" s="192">
        <f>SUM($T36:Y36)</f>
        <v/>
      </c>
      <c r="AF36" s="193">
        <f>'Brackets - prob'!B35*(1-'Brackets - prob'!B35-2*'Brackets - freq'!B35+2*B36)+B36-B36^2</f>
        <v/>
      </c>
      <c r="AG36" s="193">
        <f>'Brackets - prob'!C35*(1-'Brackets - prob'!C35-2*'Brackets - freq'!C35+2*C36)+C36-C36^2</f>
        <v/>
      </c>
      <c r="AH36" s="193">
        <f>'Brackets - prob'!D35*(1-'Brackets - prob'!D35-2*'Brackets - freq'!D35+2*D36)+D36-D36^2</f>
        <v/>
      </c>
      <c r="AI36" s="193">
        <f>'Brackets - prob'!E35*(1-'Brackets - prob'!E35-2*'Brackets - freq'!E35+2*E36)+E36-E36^2</f>
        <v/>
      </c>
      <c r="AJ36" s="193">
        <f>'Brackets - prob'!F35*(1-'Brackets - prob'!F35-2*'Brackets - freq'!F35+2*F36)+F36-F36^2</f>
        <v/>
      </c>
      <c r="AK36" s="193">
        <f>'Brackets - prob'!G35*(1-'Brackets - prob'!G35-2*'Brackets - freq'!G35+2*G36)+G36-G36^2</f>
        <v/>
      </c>
      <c r="AL36" s="194">
        <f>Bracket!E$2^2*(('Brackets - prob'!B35-H36)*(1+2*B36)-'Brackets - prob'!B35^2+H36^2-2*('Brackets - prob'!B35*'Brackets - freq'!B35-N36))</f>
        <v/>
      </c>
      <c r="AM36" s="194">
        <f>Bracket!F$2^2*(('Brackets - prob'!C35-I36)*(1+2*C36)-'Brackets - prob'!C35^2+I36^2-2*('Brackets - prob'!C35*'Brackets - freq'!C35-O36))</f>
        <v/>
      </c>
      <c r="AN36" s="194">
        <f>Bracket!G$2^2*(('Brackets - prob'!D35-J36)*(1+2*D36)-'Brackets - prob'!D35^2+J36^2-2*('Brackets - prob'!D35*'Brackets - freq'!D35-P36))</f>
        <v/>
      </c>
      <c r="AO36" s="194">
        <f>Bracket!H$2^2*(('Brackets - prob'!E35-K36)*(1+2*E36)-'Brackets - prob'!E35^2+K36^2-2*('Brackets - prob'!E35*'Brackets - freq'!E35-Q36))</f>
        <v/>
      </c>
      <c r="AP36" s="194">
        <f>Bracket!I$2^2*(('Brackets - prob'!F35-L36)*(1+2*F36)-'Brackets - prob'!F35^2+L36^2-2*('Brackets - prob'!F35*'Brackets - freq'!F35-R36))</f>
        <v/>
      </c>
      <c r="AQ36" s="194">
        <f>Bracket!J$2^2*(('Brackets - prob'!G35-M36)*(1+2*G36)-'Brackets - prob'!G35^2+M36^2-2*('Brackets - prob'!G35*'Brackets - freq'!G35-S36))</f>
        <v/>
      </c>
      <c r="AR36" s="192">
        <f>SUM($AL36:AL36)</f>
        <v/>
      </c>
      <c r="AS36" s="192">
        <f>SUM($AL36:AM36)</f>
        <v/>
      </c>
      <c r="AT36" s="192">
        <f>SUM($AL36:AN36)</f>
        <v/>
      </c>
      <c r="AU36" s="192">
        <f>SUM($AL36:AO36)</f>
        <v/>
      </c>
      <c r="AV36" s="192">
        <f>SUM($AL36:AP36)</f>
        <v/>
      </c>
      <c r="AW36" s="192">
        <f>SUM($AL36:AQ36)</f>
        <v/>
      </c>
      <c r="AX36" s="195">
        <f>IF(Z36=0,0,AR36/Z36)</f>
        <v/>
      </c>
      <c r="AY36" s="195">
        <f>IF(AA36=0,0,AS36/AA36)</f>
        <v/>
      </c>
      <c r="AZ36" s="195">
        <f>IF(AB36=0,0,AT36/AB36)</f>
        <v/>
      </c>
      <c r="BA36" s="195">
        <f>IF(AC36=0,0,AU36/AC36)</f>
        <v/>
      </c>
      <c r="BB36" s="195">
        <f>IF(AD36=0,0,AV36/AD36)</f>
        <v/>
      </c>
      <c r="BC36" s="195">
        <f>IF(AE36=0,0,AW36/AE36)</f>
        <v/>
      </c>
      <c r="BD36" s="196">
        <f>IF(OR(AX36=0,AX36&lt;=-1),1,0)</f>
        <v/>
      </c>
      <c r="BE36" s="196">
        <f>IF(OR(AY36=0,AY36&lt;=-1),1,0)</f>
        <v/>
      </c>
      <c r="BF36" s="196">
        <f>IF(OR(AZ36=0,AZ36&lt;=-1),1,0)</f>
        <v/>
      </c>
      <c r="BG36" s="196">
        <f>IF(OR(BA36=0,BA36&lt;=-1),1,0)</f>
        <v/>
      </c>
      <c r="BH36" s="196">
        <f>IF(OR(BB36=0,BB36&lt;=-1),1,0)</f>
        <v/>
      </c>
      <c r="BI36" s="196">
        <f>IF(OR(BC36=0,BC36&lt;=-1),1,0)</f>
        <v/>
      </c>
      <c r="BJ36" s="197">
        <f>IF(AND('Brackets - prob'!B35&gt;H36-0.5,'Brackets - freq'!B35/'Brackets - prob'!B35&lt;N36/H36^2),1,0)</f>
        <v/>
      </c>
      <c r="BK36" s="197">
        <f>IF(AND('Brackets - prob'!C35&gt;I36-0.5,'Brackets - freq'!C35/'Brackets - prob'!C35&lt;O36/I36^2),1,0)</f>
        <v/>
      </c>
      <c r="BL36" s="197">
        <f>IF(AND('Brackets - prob'!D35&gt;J36-0.5,'Brackets - freq'!D35/'Brackets - prob'!D35&lt;P36/J36^2),1,0)</f>
        <v/>
      </c>
      <c r="BM36" s="197">
        <f>IF(AND('Brackets - prob'!E35&gt;K36-0.5,'Brackets - freq'!E35/'Brackets - prob'!E35&lt;Q36/K36^2),1,0)</f>
        <v/>
      </c>
      <c r="BN36" s="197">
        <f>IF(AND('Brackets - prob'!F35&gt;L36-0.5,'Brackets - freq'!F35/'Brackets - prob'!F35&lt;R36/L36^2),1,0)</f>
        <v/>
      </c>
      <c r="BO36" s="197">
        <f>IF(AND('Brackets - prob'!G35&gt;M36-0.5,'Brackets - freq'!G35/'Brackets - prob'!G35&lt;S36/M36^2),1,0)</f>
        <v/>
      </c>
    </row>
    <row r="37">
      <c r="A37" s="41" t="inlineStr">
        <is>
          <t>Mississippi State</t>
        </is>
      </c>
      <c r="B37" s="51">
        <f>SUMPRODUCT('Brackets - prob'!B36:B37,'Brackets - freq'!B36:B37)</f>
        <v/>
      </c>
      <c r="C37" s="51">
        <f>C36</f>
        <v/>
      </c>
      <c r="D37" s="51">
        <f>D36</f>
        <v/>
      </c>
      <c r="E37" s="51">
        <f>E36</f>
        <v/>
      </c>
      <c r="F37" s="51">
        <f>F36</f>
        <v/>
      </c>
      <c r="G37" s="51">
        <f>G36</f>
        <v/>
      </c>
      <c r="H37" s="52">
        <f>MAX('Brackets - prob'!B36:B37)</f>
        <v/>
      </c>
      <c r="I37" s="52">
        <f>I36</f>
        <v/>
      </c>
      <c r="J37" s="52">
        <f>J36</f>
        <v/>
      </c>
      <c r="K37" s="52">
        <f>K36</f>
        <v/>
      </c>
      <c r="L37" s="52">
        <f>L36</f>
        <v/>
      </c>
      <c r="M37" s="52">
        <f>M36</f>
        <v/>
      </c>
      <c r="N37" s="53">
        <f>AVERAGEIF('Brackets - prob'!B36:B37,"="&amp;H37,'Brackets - freq'!B36:B37)*H37</f>
        <v/>
      </c>
      <c r="O37" s="53">
        <f>O36</f>
        <v/>
      </c>
      <c r="P37" s="53">
        <f>P36</f>
        <v/>
      </c>
      <c r="Q37" s="53">
        <f>Q36</f>
        <v/>
      </c>
      <c r="R37" s="53">
        <f>R36</f>
        <v/>
      </c>
      <c r="S37" s="53">
        <f>S36</f>
        <v/>
      </c>
      <c r="T37" s="191">
        <f>Bracket!E$2*('Brackets - prob'!B36-H37)</f>
        <v/>
      </c>
      <c r="U37" s="191">
        <f>Bracket!F$2*('Brackets - prob'!C36-I37)</f>
        <v/>
      </c>
      <c r="V37" s="191">
        <f>Bracket!G$2*('Brackets - prob'!D36-J37)</f>
        <v/>
      </c>
      <c r="W37" s="191">
        <f>Bracket!H$2*('Brackets - prob'!E36-K37)</f>
        <v/>
      </c>
      <c r="X37" s="191">
        <f>Bracket!I$2*('Brackets - prob'!F36-L37)</f>
        <v/>
      </c>
      <c r="Y37" s="191">
        <f>Bracket!J$2*('Brackets - prob'!G36-M37)</f>
        <v/>
      </c>
      <c r="Z37" s="192">
        <f>SUM(T37:$T37)</f>
        <v/>
      </c>
      <c r="AA37" s="192">
        <f>SUM($T37:U37)</f>
        <v/>
      </c>
      <c r="AB37" s="192">
        <f>SUM($T37:V37)</f>
        <v/>
      </c>
      <c r="AC37" s="192">
        <f>SUM($T37:W37)</f>
        <v/>
      </c>
      <c r="AD37" s="192">
        <f>SUM($T37:X37)</f>
        <v/>
      </c>
      <c r="AE37" s="192">
        <f>SUM($T37:Y37)</f>
        <v/>
      </c>
      <c r="AF37" s="193">
        <f>'Brackets - prob'!B36*(1-'Brackets - prob'!B36-2*'Brackets - freq'!B36+2*B37)+B37-B37^2</f>
        <v/>
      </c>
      <c r="AG37" s="193">
        <f>'Brackets - prob'!C36*(1-'Brackets - prob'!C36-2*'Brackets - freq'!C36+2*C37)+C37-C37^2</f>
        <v/>
      </c>
      <c r="AH37" s="193">
        <f>'Brackets - prob'!D36*(1-'Brackets - prob'!D36-2*'Brackets - freq'!D36+2*D37)+D37-D37^2</f>
        <v/>
      </c>
      <c r="AI37" s="193">
        <f>'Brackets - prob'!E36*(1-'Brackets - prob'!E36-2*'Brackets - freq'!E36+2*E37)+E37-E37^2</f>
        <v/>
      </c>
      <c r="AJ37" s="193">
        <f>'Brackets - prob'!F36*(1-'Brackets - prob'!F36-2*'Brackets - freq'!F36+2*F37)+F37-F37^2</f>
        <v/>
      </c>
      <c r="AK37" s="193">
        <f>'Brackets - prob'!G36*(1-'Brackets - prob'!G36-2*'Brackets - freq'!G36+2*G37)+G37-G37^2</f>
        <v/>
      </c>
      <c r="AL37" s="194">
        <f>Bracket!E$2^2*(('Brackets - prob'!B36-H37)*(1+2*B37)-'Brackets - prob'!B36^2+H37^2-2*('Brackets - prob'!B36*'Brackets - freq'!B36-N37))</f>
        <v/>
      </c>
      <c r="AM37" s="194">
        <f>Bracket!F$2^2*(('Brackets - prob'!C36-I37)*(1+2*C37)-'Brackets - prob'!C36^2+I37^2-2*('Brackets - prob'!C36*'Brackets - freq'!C36-O37))</f>
        <v/>
      </c>
      <c r="AN37" s="194">
        <f>Bracket!G$2^2*(('Brackets - prob'!D36-J37)*(1+2*D37)-'Brackets - prob'!D36^2+J37^2-2*('Brackets - prob'!D36*'Brackets - freq'!D36-P37))</f>
        <v/>
      </c>
      <c r="AO37" s="194">
        <f>Bracket!H$2^2*(('Brackets - prob'!E36-K37)*(1+2*E37)-'Brackets - prob'!E36^2+K37^2-2*('Brackets - prob'!E36*'Brackets - freq'!E36-Q37))</f>
        <v/>
      </c>
      <c r="AP37" s="194">
        <f>Bracket!I$2^2*(('Brackets - prob'!F36-L37)*(1+2*F37)-'Brackets - prob'!F36^2+L37^2-2*('Brackets - prob'!F36*'Brackets - freq'!F36-R37))</f>
        <v/>
      </c>
      <c r="AQ37" s="194">
        <f>Bracket!J$2^2*(('Brackets - prob'!G36-M37)*(1+2*G37)-'Brackets - prob'!G36^2+M37^2-2*('Brackets - prob'!G36*'Brackets - freq'!G36-S37))</f>
        <v/>
      </c>
      <c r="AR37" s="192">
        <f>SUM($AL37:AL37)</f>
        <v/>
      </c>
      <c r="AS37" s="192">
        <f>SUM($AL37:AM37)</f>
        <v/>
      </c>
      <c r="AT37" s="192">
        <f>SUM($AL37:AN37)</f>
        <v/>
      </c>
      <c r="AU37" s="192">
        <f>SUM($AL37:AO37)</f>
        <v/>
      </c>
      <c r="AV37" s="192">
        <f>SUM($AL37:AP37)</f>
        <v/>
      </c>
      <c r="AW37" s="192">
        <f>SUM($AL37:AQ37)</f>
        <v/>
      </c>
      <c r="AX37" s="195">
        <f>IF(Z37=0,0,AR37/Z37)</f>
        <v/>
      </c>
      <c r="AY37" s="195">
        <f>IF(AA37=0,0,AS37/AA37)</f>
        <v/>
      </c>
      <c r="AZ37" s="195">
        <f>IF(AB37=0,0,AT37/AB37)</f>
        <v/>
      </c>
      <c r="BA37" s="195">
        <f>IF(AC37=0,0,AU37/AC37)</f>
        <v/>
      </c>
      <c r="BB37" s="195">
        <f>IF(AD37=0,0,AV37/AD37)</f>
        <v/>
      </c>
      <c r="BC37" s="195">
        <f>IF(AE37=0,0,AW37/AE37)</f>
        <v/>
      </c>
      <c r="BD37" s="196">
        <f>IF(OR(AX37=0,AX37&lt;=-1),1,0)</f>
        <v/>
      </c>
      <c r="BE37" s="196">
        <f>IF(OR(AY37=0,AY37&lt;=-1),1,0)</f>
        <v/>
      </c>
      <c r="BF37" s="196">
        <f>IF(OR(AZ37=0,AZ37&lt;=-1),1,0)</f>
        <v/>
      </c>
      <c r="BG37" s="196">
        <f>IF(OR(BA37=0,BA37&lt;=-1),1,0)</f>
        <v/>
      </c>
      <c r="BH37" s="196">
        <f>IF(OR(BB37=0,BB37&lt;=-1),1,0)</f>
        <v/>
      </c>
      <c r="BI37" s="196">
        <f>IF(OR(BC37=0,BC37&lt;=-1),1,0)</f>
        <v/>
      </c>
      <c r="BJ37" s="197">
        <f>IF(AND('Brackets - prob'!B36&gt;H37-0.5,'Brackets - freq'!B36/'Brackets - prob'!B36&lt;N37/H37^2),1,0)</f>
        <v/>
      </c>
      <c r="BK37" s="197">
        <f>IF(AND('Brackets - prob'!C36&gt;I37-0.5,'Brackets - freq'!C36/'Brackets - prob'!C36&lt;O37/I37^2),1,0)</f>
        <v/>
      </c>
      <c r="BL37" s="197">
        <f>IF(AND('Brackets - prob'!D36&gt;J37-0.5,'Brackets - freq'!D36/'Brackets - prob'!D36&lt;P37/J37^2),1,0)</f>
        <v/>
      </c>
      <c r="BM37" s="197">
        <f>IF(AND('Brackets - prob'!E36&gt;K37-0.5,'Brackets - freq'!E36/'Brackets - prob'!E36&lt;Q37/K37^2),1,0)</f>
        <v/>
      </c>
      <c r="BN37" s="197">
        <f>IF(AND('Brackets - prob'!F36&gt;L37-0.5,'Brackets - freq'!F36/'Brackets - prob'!F36&lt;R37/L37^2),1,0)</f>
        <v/>
      </c>
      <c r="BO37" s="197">
        <f>IF(AND('Brackets - prob'!G36&gt;M37-0.5,'Brackets - freq'!G36/'Brackets - prob'!G36&lt;S37/M37^2),1,0)</f>
        <v/>
      </c>
    </row>
    <row r="38">
      <c r="A38" s="41" t="inlineStr">
        <is>
          <t>Oklahoma</t>
        </is>
      </c>
      <c r="B38" s="51">
        <f>B37</f>
        <v/>
      </c>
      <c r="C38" s="51">
        <f>C37</f>
        <v/>
      </c>
      <c r="D38" s="51">
        <f>D37</f>
        <v/>
      </c>
      <c r="E38" s="51">
        <f>E37</f>
        <v/>
      </c>
      <c r="F38" s="51">
        <f>F37</f>
        <v/>
      </c>
      <c r="G38" s="51">
        <f>G37</f>
        <v/>
      </c>
      <c r="H38" s="52">
        <f>H37</f>
        <v/>
      </c>
      <c r="I38" s="52">
        <f>I37</f>
        <v/>
      </c>
      <c r="J38" s="52">
        <f>J37</f>
        <v/>
      </c>
      <c r="K38" s="52">
        <f>K37</f>
        <v/>
      </c>
      <c r="L38" s="52">
        <f>L37</f>
        <v/>
      </c>
      <c r="M38" s="52">
        <f>M37</f>
        <v/>
      </c>
      <c r="N38" s="53">
        <f>N37</f>
        <v/>
      </c>
      <c r="O38" s="53">
        <f>O37</f>
        <v/>
      </c>
      <c r="P38" s="53">
        <f>P37</f>
        <v/>
      </c>
      <c r="Q38" s="53">
        <f>Q37</f>
        <v/>
      </c>
      <c r="R38" s="53">
        <f>R37</f>
        <v/>
      </c>
      <c r="S38" s="53">
        <f>S37</f>
        <v/>
      </c>
      <c r="T38" s="191">
        <f>Bracket!E$2*('Brackets - prob'!B37-H38)</f>
        <v/>
      </c>
      <c r="U38" s="191">
        <f>Bracket!F$2*('Brackets - prob'!C37-I38)</f>
        <v/>
      </c>
      <c r="V38" s="191">
        <f>Bracket!G$2*('Brackets - prob'!D37-J38)</f>
        <v/>
      </c>
      <c r="W38" s="191">
        <f>Bracket!H$2*('Brackets - prob'!E37-K38)</f>
        <v/>
      </c>
      <c r="X38" s="191">
        <f>Bracket!I$2*('Brackets - prob'!F37-L38)</f>
        <v/>
      </c>
      <c r="Y38" s="191">
        <f>Bracket!J$2*('Brackets - prob'!G37-M38)</f>
        <v/>
      </c>
      <c r="Z38" s="192">
        <f>SUM(T38:$T38)</f>
        <v/>
      </c>
      <c r="AA38" s="192">
        <f>SUM($T38:U38)</f>
        <v/>
      </c>
      <c r="AB38" s="192">
        <f>SUM($T38:V38)</f>
        <v/>
      </c>
      <c r="AC38" s="192">
        <f>SUM($T38:W38)</f>
        <v/>
      </c>
      <c r="AD38" s="192">
        <f>SUM($T38:X38)</f>
        <v/>
      </c>
      <c r="AE38" s="192">
        <f>SUM($T38:Y38)</f>
        <v/>
      </c>
      <c r="AF38" s="193">
        <f>'Brackets - prob'!B37*(1-'Brackets - prob'!B37-2*'Brackets - freq'!B37+2*B38)+B38-B38^2</f>
        <v/>
      </c>
      <c r="AG38" s="193">
        <f>'Brackets - prob'!C37*(1-'Brackets - prob'!C37-2*'Brackets - freq'!C37+2*C38)+C38-C38^2</f>
        <v/>
      </c>
      <c r="AH38" s="193">
        <f>'Brackets - prob'!D37*(1-'Brackets - prob'!D37-2*'Brackets - freq'!D37+2*D38)+D38-D38^2</f>
        <v/>
      </c>
      <c r="AI38" s="193">
        <f>'Brackets - prob'!E37*(1-'Brackets - prob'!E37-2*'Brackets - freq'!E37+2*E38)+E38-E38^2</f>
        <v/>
      </c>
      <c r="AJ38" s="193">
        <f>'Brackets - prob'!F37*(1-'Brackets - prob'!F37-2*'Brackets - freq'!F37+2*F38)+F38-F38^2</f>
        <v/>
      </c>
      <c r="AK38" s="193">
        <f>'Brackets - prob'!G37*(1-'Brackets - prob'!G37-2*'Brackets - freq'!G37+2*G38)+G38-G38^2</f>
        <v/>
      </c>
      <c r="AL38" s="194">
        <f>Bracket!E$2^2*(('Brackets - prob'!B37-H38)*(1+2*B38)-'Brackets - prob'!B37^2+H38^2-2*('Brackets - prob'!B37*'Brackets - freq'!B37-N38))</f>
        <v/>
      </c>
      <c r="AM38" s="194">
        <f>Bracket!F$2^2*(('Brackets - prob'!C37-I38)*(1+2*C38)-'Brackets - prob'!C37^2+I38^2-2*('Brackets - prob'!C37*'Brackets - freq'!C37-O38))</f>
        <v/>
      </c>
      <c r="AN38" s="194">
        <f>Bracket!G$2^2*(('Brackets - prob'!D37-J38)*(1+2*D38)-'Brackets - prob'!D37^2+J38^2-2*('Brackets - prob'!D37*'Brackets - freq'!D37-P38))</f>
        <v/>
      </c>
      <c r="AO38" s="194">
        <f>Bracket!H$2^2*(('Brackets - prob'!E37-K38)*(1+2*E38)-'Brackets - prob'!E37^2+K38^2-2*('Brackets - prob'!E37*'Brackets - freq'!E37-Q38))</f>
        <v/>
      </c>
      <c r="AP38" s="194">
        <f>Bracket!I$2^2*(('Brackets - prob'!F37-L38)*(1+2*F38)-'Brackets - prob'!F37^2+L38^2-2*('Brackets - prob'!F37*'Brackets - freq'!F37-R38))</f>
        <v/>
      </c>
      <c r="AQ38" s="194">
        <f>Bracket!J$2^2*(('Brackets - prob'!G37-M38)*(1+2*G38)-'Brackets - prob'!G37^2+M38^2-2*('Brackets - prob'!G37*'Brackets - freq'!G37-S38))</f>
        <v/>
      </c>
      <c r="AR38" s="192">
        <f>SUM($AL38:AL38)</f>
        <v/>
      </c>
      <c r="AS38" s="192">
        <f>SUM($AL38:AM38)</f>
        <v/>
      </c>
      <c r="AT38" s="192">
        <f>SUM($AL38:AN38)</f>
        <v/>
      </c>
      <c r="AU38" s="192">
        <f>SUM($AL38:AO38)</f>
        <v/>
      </c>
      <c r="AV38" s="192">
        <f>SUM($AL38:AP38)</f>
        <v/>
      </c>
      <c r="AW38" s="192">
        <f>SUM($AL38:AQ38)</f>
        <v/>
      </c>
      <c r="AX38" s="195">
        <f>IF(Z38=0,0,AR38/Z38)</f>
        <v/>
      </c>
      <c r="AY38" s="195">
        <f>IF(AA38=0,0,AS38/AA38)</f>
        <v/>
      </c>
      <c r="AZ38" s="195">
        <f>IF(AB38=0,0,AT38/AB38)</f>
        <v/>
      </c>
      <c r="BA38" s="195">
        <f>IF(AC38=0,0,AU38/AC38)</f>
        <v/>
      </c>
      <c r="BB38" s="195">
        <f>IF(AD38=0,0,AV38/AD38)</f>
        <v/>
      </c>
      <c r="BC38" s="195">
        <f>IF(AE38=0,0,AW38/AE38)</f>
        <v/>
      </c>
      <c r="BD38" s="196">
        <f>IF(OR(AX38=0,AX38&lt;=-1),1,0)</f>
        <v/>
      </c>
      <c r="BE38" s="196">
        <f>IF(OR(AY38=0,AY38&lt;=-1),1,0)</f>
        <v/>
      </c>
      <c r="BF38" s="196">
        <f>IF(OR(AZ38=0,AZ38&lt;=-1),1,0)</f>
        <v/>
      </c>
      <c r="BG38" s="196">
        <f>IF(OR(BA38=0,BA38&lt;=-1),1,0)</f>
        <v/>
      </c>
      <c r="BH38" s="196">
        <f>IF(OR(BB38=0,BB38&lt;=-1),1,0)</f>
        <v/>
      </c>
      <c r="BI38" s="196">
        <f>IF(OR(BC38=0,BC38&lt;=-1),1,0)</f>
        <v/>
      </c>
      <c r="BJ38" s="197">
        <f>IF(AND('Brackets - prob'!B37&gt;H38-0.5,'Brackets - freq'!B37/'Brackets - prob'!B37&lt;N38/H38^2),1,0)</f>
        <v/>
      </c>
      <c r="BK38" s="197">
        <f>IF(AND('Brackets - prob'!C37&gt;I38-0.5,'Brackets - freq'!C37/'Brackets - prob'!C37&lt;O38/I38^2),1,0)</f>
        <v/>
      </c>
      <c r="BL38" s="197">
        <f>IF(AND('Brackets - prob'!D37&gt;J38-0.5,'Brackets - freq'!D37/'Brackets - prob'!D37&lt;P38/J38^2),1,0)</f>
        <v/>
      </c>
      <c r="BM38" s="197">
        <f>IF(AND('Brackets - prob'!E37&gt;K38-0.5,'Brackets - freq'!E37/'Brackets - prob'!E37&lt;Q38/K38^2),1,0)</f>
        <v/>
      </c>
      <c r="BN38" s="197">
        <f>IF(AND('Brackets - prob'!F37&gt;L38-0.5,'Brackets - freq'!F37/'Brackets - prob'!F37&lt;R38/L38^2),1,0)</f>
        <v/>
      </c>
      <c r="BO38" s="197">
        <f>IF(AND('Brackets - prob'!G37&gt;M38-0.5,'Brackets - freq'!G37/'Brackets - prob'!G37&lt;S38/M38^2),1,0)</f>
        <v/>
      </c>
    </row>
    <row r="39">
      <c r="A39" s="41" t="inlineStr">
        <is>
          <t>Wisconsin</t>
        </is>
      </c>
      <c r="B39" s="51">
        <f>SUMPRODUCT('Brackets - prob'!B38:B39,'Brackets - freq'!B38:B39)</f>
        <v/>
      </c>
      <c r="C39" s="51">
        <f>SUMPRODUCT('Brackets - prob'!C38:C41,'Brackets - freq'!C38:C41)</f>
        <v/>
      </c>
      <c r="D39" s="51">
        <f>D38</f>
        <v/>
      </c>
      <c r="E39" s="51">
        <f>E38</f>
        <v/>
      </c>
      <c r="F39" s="51">
        <f>F38</f>
        <v/>
      </c>
      <c r="G39" s="51">
        <f>G38</f>
        <v/>
      </c>
      <c r="H39" s="52">
        <f>MAX('Brackets - prob'!B38:B39)</f>
        <v/>
      </c>
      <c r="I39" s="52">
        <f>MAX('Brackets - prob'!C38:C41)</f>
        <v/>
      </c>
      <c r="J39" s="52">
        <f>J38</f>
        <v/>
      </c>
      <c r="K39" s="52">
        <f>K38</f>
        <v/>
      </c>
      <c r="L39" s="52">
        <f>L38</f>
        <v/>
      </c>
      <c r="M39" s="52">
        <f>M38</f>
        <v/>
      </c>
      <c r="N39" s="53">
        <f>AVERAGEIF('Brackets - prob'!B38:B39,"="&amp;H39,'Brackets - freq'!B38:B39)*H39</f>
        <v/>
      </c>
      <c r="O39" s="53">
        <f>AVERAGEIF('Brackets - prob'!C38:C41,"="&amp;I39,'Brackets - freq'!C38:C41)*I39</f>
        <v/>
      </c>
      <c r="P39" s="53">
        <f>P38</f>
        <v/>
      </c>
      <c r="Q39" s="53">
        <f>Q38</f>
        <v/>
      </c>
      <c r="R39" s="53">
        <f>R38</f>
        <v/>
      </c>
      <c r="S39" s="53">
        <f>S38</f>
        <v/>
      </c>
      <c r="T39" s="191">
        <f>Bracket!E$2*('Brackets - prob'!B38-H39)</f>
        <v/>
      </c>
      <c r="U39" s="191">
        <f>Bracket!F$2*('Brackets - prob'!C38-I39)</f>
        <v/>
      </c>
      <c r="V39" s="191">
        <f>Bracket!G$2*('Brackets - prob'!D38-J39)</f>
        <v/>
      </c>
      <c r="W39" s="191">
        <f>Bracket!H$2*('Brackets - prob'!E38-K39)</f>
        <v/>
      </c>
      <c r="X39" s="191">
        <f>Bracket!I$2*('Brackets - prob'!F38-L39)</f>
        <v/>
      </c>
      <c r="Y39" s="191">
        <f>Bracket!J$2*('Brackets - prob'!G38-M39)</f>
        <v/>
      </c>
      <c r="Z39" s="192">
        <f>SUM(T39:$T39)</f>
        <v/>
      </c>
      <c r="AA39" s="192">
        <f>SUM($T39:U39)</f>
        <v/>
      </c>
      <c r="AB39" s="192">
        <f>SUM($T39:V39)</f>
        <v/>
      </c>
      <c r="AC39" s="192">
        <f>SUM($T39:W39)</f>
        <v/>
      </c>
      <c r="AD39" s="192">
        <f>SUM($T39:X39)</f>
        <v/>
      </c>
      <c r="AE39" s="192">
        <f>SUM($T39:Y39)</f>
        <v/>
      </c>
      <c r="AF39" s="193">
        <f>'Brackets - prob'!B38*(1-'Brackets - prob'!B38-2*'Brackets - freq'!B38+2*B39)+B39-B39^2</f>
        <v/>
      </c>
      <c r="AG39" s="193">
        <f>'Brackets - prob'!C38*(1-'Brackets - prob'!C38-2*'Brackets - freq'!C38+2*C39)+C39-C39^2</f>
        <v/>
      </c>
      <c r="AH39" s="193">
        <f>'Brackets - prob'!D38*(1-'Brackets - prob'!D38-2*'Brackets - freq'!D38+2*D39)+D39-D39^2</f>
        <v/>
      </c>
      <c r="AI39" s="193">
        <f>'Brackets - prob'!E38*(1-'Brackets - prob'!E38-2*'Brackets - freq'!E38+2*E39)+E39-E39^2</f>
        <v/>
      </c>
      <c r="AJ39" s="193">
        <f>'Brackets - prob'!F38*(1-'Brackets - prob'!F38-2*'Brackets - freq'!F38+2*F39)+F39-F39^2</f>
        <v/>
      </c>
      <c r="AK39" s="193">
        <f>'Brackets - prob'!G38*(1-'Brackets - prob'!G38-2*'Brackets - freq'!G38+2*G39)+G39-G39^2</f>
        <v/>
      </c>
      <c r="AL39" s="194">
        <f>Bracket!E$2^2*(('Brackets - prob'!B38-H39)*(1+2*B39)-'Brackets - prob'!B38^2+H39^2-2*('Brackets - prob'!B38*'Brackets - freq'!B38-N39))</f>
        <v/>
      </c>
      <c r="AM39" s="194">
        <f>Bracket!F$2^2*(('Brackets - prob'!C38-I39)*(1+2*C39)-'Brackets - prob'!C38^2+I39^2-2*('Brackets - prob'!C38*'Brackets - freq'!C38-O39))</f>
        <v/>
      </c>
      <c r="AN39" s="194">
        <f>Bracket!G$2^2*(('Brackets - prob'!D38-J39)*(1+2*D39)-'Brackets - prob'!D38^2+J39^2-2*('Brackets - prob'!D38*'Brackets - freq'!D38-P39))</f>
        <v/>
      </c>
      <c r="AO39" s="194">
        <f>Bracket!H$2^2*(('Brackets - prob'!E38-K39)*(1+2*E39)-'Brackets - prob'!E38^2+K39^2-2*('Brackets - prob'!E38*'Brackets - freq'!E38-Q39))</f>
        <v/>
      </c>
      <c r="AP39" s="194">
        <f>Bracket!I$2^2*(('Brackets - prob'!F38-L39)*(1+2*F39)-'Brackets - prob'!F38^2+L39^2-2*('Brackets - prob'!F38*'Brackets - freq'!F38-R39))</f>
        <v/>
      </c>
      <c r="AQ39" s="194">
        <f>Bracket!J$2^2*(('Brackets - prob'!G38-M39)*(1+2*G39)-'Brackets - prob'!G38^2+M39^2-2*('Brackets - prob'!G38*'Brackets - freq'!G38-S39))</f>
        <v/>
      </c>
      <c r="AR39" s="192">
        <f>SUM($AL39:AL39)</f>
        <v/>
      </c>
      <c r="AS39" s="192">
        <f>SUM($AL39:AM39)</f>
        <v/>
      </c>
      <c r="AT39" s="192">
        <f>SUM($AL39:AN39)</f>
        <v/>
      </c>
      <c r="AU39" s="192">
        <f>SUM($AL39:AO39)</f>
        <v/>
      </c>
      <c r="AV39" s="192">
        <f>SUM($AL39:AP39)</f>
        <v/>
      </c>
      <c r="AW39" s="192">
        <f>SUM($AL39:AQ39)</f>
        <v/>
      </c>
      <c r="AX39" s="195">
        <f>IF(Z39=0,0,AR39/Z39)</f>
        <v/>
      </c>
      <c r="AY39" s="195">
        <f>IF(AA39=0,0,AS39/AA39)</f>
        <v/>
      </c>
      <c r="AZ39" s="195">
        <f>IF(AB39=0,0,AT39/AB39)</f>
        <v/>
      </c>
      <c r="BA39" s="195">
        <f>IF(AC39=0,0,AU39/AC39)</f>
        <v/>
      </c>
      <c r="BB39" s="195">
        <f>IF(AD39=0,0,AV39/AD39)</f>
        <v/>
      </c>
      <c r="BC39" s="195">
        <f>IF(AE39=0,0,AW39/AE39)</f>
        <v/>
      </c>
      <c r="BD39" s="196">
        <f>IF(OR(AX39=0,AX39&lt;=-1),1,0)</f>
        <v/>
      </c>
      <c r="BE39" s="196">
        <f>IF(OR(AY39=0,AY39&lt;=-1),1,0)</f>
        <v/>
      </c>
      <c r="BF39" s="196">
        <f>IF(OR(AZ39=0,AZ39&lt;=-1),1,0)</f>
        <v/>
      </c>
      <c r="BG39" s="196">
        <f>IF(OR(BA39=0,BA39&lt;=-1),1,0)</f>
        <v/>
      </c>
      <c r="BH39" s="196">
        <f>IF(OR(BB39=0,BB39&lt;=-1),1,0)</f>
        <v/>
      </c>
      <c r="BI39" s="196">
        <f>IF(OR(BC39=0,BC39&lt;=-1),1,0)</f>
        <v/>
      </c>
      <c r="BJ39" s="197">
        <f>IF(AND('Brackets - prob'!B38&gt;H39-0.5,'Brackets - freq'!B38/'Brackets - prob'!B38&lt;N39/H39^2),1,0)</f>
        <v/>
      </c>
      <c r="BK39" s="197">
        <f>IF(AND('Brackets - prob'!C38&gt;I39-0.5,'Brackets - freq'!C38/'Brackets - prob'!C38&lt;O39/I39^2),1,0)</f>
        <v/>
      </c>
      <c r="BL39" s="197">
        <f>IF(AND('Brackets - prob'!D38&gt;J39-0.5,'Brackets - freq'!D38/'Brackets - prob'!D38&lt;P39/J39^2),1,0)</f>
        <v/>
      </c>
      <c r="BM39" s="197">
        <f>IF(AND('Brackets - prob'!E38&gt;K39-0.5,'Brackets - freq'!E38/'Brackets - prob'!E38&lt;Q39/K39^2),1,0)</f>
        <v/>
      </c>
      <c r="BN39" s="197">
        <f>IF(AND('Brackets - prob'!F38&gt;L39-0.5,'Brackets - freq'!F38/'Brackets - prob'!F38&lt;R39/L39^2),1,0)</f>
        <v/>
      </c>
      <c r="BO39" s="197">
        <f>IF(AND('Brackets - prob'!G38&gt;M39-0.5,'Brackets - freq'!G38/'Brackets - prob'!G38&lt;S39/M39^2),1,0)</f>
        <v/>
      </c>
    </row>
    <row r="40">
      <c r="A40" s="41" t="inlineStr">
        <is>
          <t>Oregon</t>
        </is>
      </c>
      <c r="B40" s="51">
        <f>B39</f>
        <v/>
      </c>
      <c r="C40" s="51">
        <f>C39</f>
        <v/>
      </c>
      <c r="D40" s="51">
        <f>D39</f>
        <v/>
      </c>
      <c r="E40" s="51">
        <f>E39</f>
        <v/>
      </c>
      <c r="F40" s="51">
        <f>F39</f>
        <v/>
      </c>
      <c r="G40" s="51">
        <f>G39</f>
        <v/>
      </c>
      <c r="H40" s="52">
        <f>H39</f>
        <v/>
      </c>
      <c r="I40" s="52">
        <f>I39</f>
        <v/>
      </c>
      <c r="J40" s="52">
        <f>J39</f>
        <v/>
      </c>
      <c r="K40" s="52">
        <f>K39</f>
        <v/>
      </c>
      <c r="L40" s="52">
        <f>L39</f>
        <v/>
      </c>
      <c r="M40" s="52">
        <f>M39</f>
        <v/>
      </c>
      <c r="N40" s="53">
        <f>N39</f>
        <v/>
      </c>
      <c r="O40" s="53">
        <f>O39</f>
        <v/>
      </c>
      <c r="P40" s="53">
        <f>P39</f>
        <v/>
      </c>
      <c r="Q40" s="53">
        <f>Q39</f>
        <v/>
      </c>
      <c r="R40" s="53">
        <f>R39</f>
        <v/>
      </c>
      <c r="S40" s="53">
        <f>S39</f>
        <v/>
      </c>
      <c r="T40" s="191">
        <f>Bracket!E$2*('Brackets - prob'!B39-H40)</f>
        <v/>
      </c>
      <c r="U40" s="191">
        <f>Bracket!F$2*('Brackets - prob'!C39-I40)</f>
        <v/>
      </c>
      <c r="V40" s="191">
        <f>Bracket!G$2*('Brackets - prob'!D39-J40)</f>
        <v/>
      </c>
      <c r="W40" s="191">
        <f>Bracket!H$2*('Brackets - prob'!E39-K40)</f>
        <v/>
      </c>
      <c r="X40" s="191">
        <f>Bracket!I$2*('Brackets - prob'!F39-L40)</f>
        <v/>
      </c>
      <c r="Y40" s="191">
        <f>Bracket!J$2*('Brackets - prob'!G39-M40)</f>
        <v/>
      </c>
      <c r="Z40" s="192">
        <f>SUM(T40:$T40)</f>
        <v/>
      </c>
      <c r="AA40" s="192">
        <f>SUM($T40:U40)</f>
        <v/>
      </c>
      <c r="AB40" s="192">
        <f>SUM($T40:V40)</f>
        <v/>
      </c>
      <c r="AC40" s="192">
        <f>SUM($T40:W40)</f>
        <v/>
      </c>
      <c r="AD40" s="192">
        <f>SUM($T40:X40)</f>
        <v/>
      </c>
      <c r="AE40" s="192">
        <f>SUM($T40:Y40)</f>
        <v/>
      </c>
      <c r="AF40" s="193">
        <f>'Brackets - prob'!B39*(1-'Brackets - prob'!B39-2*'Brackets - freq'!B39+2*B40)+B40-B40^2</f>
        <v/>
      </c>
      <c r="AG40" s="193">
        <f>'Brackets - prob'!C39*(1-'Brackets - prob'!C39-2*'Brackets - freq'!C39+2*C40)+C40-C40^2</f>
        <v/>
      </c>
      <c r="AH40" s="193">
        <f>'Brackets - prob'!D39*(1-'Brackets - prob'!D39-2*'Brackets - freq'!D39+2*D40)+D40-D40^2</f>
        <v/>
      </c>
      <c r="AI40" s="193">
        <f>'Brackets - prob'!E39*(1-'Brackets - prob'!E39-2*'Brackets - freq'!E39+2*E40)+E40-E40^2</f>
        <v/>
      </c>
      <c r="AJ40" s="193">
        <f>'Brackets - prob'!F39*(1-'Brackets - prob'!F39-2*'Brackets - freq'!F39+2*F40)+F40-F40^2</f>
        <v/>
      </c>
      <c r="AK40" s="193">
        <f>'Brackets - prob'!G39*(1-'Brackets - prob'!G39-2*'Brackets - freq'!G39+2*G40)+G40-G40^2</f>
        <v/>
      </c>
      <c r="AL40" s="194">
        <f>Bracket!E$2^2*(('Brackets - prob'!B39-H40)*(1+2*B40)-'Brackets - prob'!B39^2+H40^2-2*('Brackets - prob'!B39*'Brackets - freq'!B39-N40))</f>
        <v/>
      </c>
      <c r="AM40" s="194">
        <f>Bracket!F$2^2*(('Brackets - prob'!C39-I40)*(1+2*C40)-'Brackets - prob'!C39^2+I40^2-2*('Brackets - prob'!C39*'Brackets - freq'!C39-O40))</f>
        <v/>
      </c>
      <c r="AN40" s="194">
        <f>Bracket!G$2^2*(('Brackets - prob'!D39-J40)*(1+2*D40)-'Brackets - prob'!D39^2+J40^2-2*('Brackets - prob'!D39*'Brackets - freq'!D39-P40))</f>
        <v/>
      </c>
      <c r="AO40" s="194">
        <f>Bracket!H$2^2*(('Brackets - prob'!E39-K40)*(1+2*E40)-'Brackets - prob'!E39^2+K40^2-2*('Brackets - prob'!E39*'Brackets - freq'!E39-Q40))</f>
        <v/>
      </c>
      <c r="AP40" s="194">
        <f>Bracket!I$2^2*(('Brackets - prob'!F39-L40)*(1+2*F40)-'Brackets - prob'!F39^2+L40^2-2*('Brackets - prob'!F39*'Brackets - freq'!F39-R40))</f>
        <v/>
      </c>
      <c r="AQ40" s="194">
        <f>Bracket!J$2^2*(('Brackets - prob'!G39-M40)*(1+2*G40)-'Brackets - prob'!G39^2+M40^2-2*('Brackets - prob'!G39*'Brackets - freq'!G39-S40))</f>
        <v/>
      </c>
      <c r="AR40" s="192">
        <f>SUM($AL40:AL40)</f>
        <v/>
      </c>
      <c r="AS40" s="192">
        <f>SUM($AL40:AM40)</f>
        <v/>
      </c>
      <c r="AT40" s="192">
        <f>SUM($AL40:AN40)</f>
        <v/>
      </c>
      <c r="AU40" s="192">
        <f>SUM($AL40:AO40)</f>
        <v/>
      </c>
      <c r="AV40" s="192">
        <f>SUM($AL40:AP40)</f>
        <v/>
      </c>
      <c r="AW40" s="192">
        <f>SUM($AL40:AQ40)</f>
        <v/>
      </c>
      <c r="AX40" s="195">
        <f>IF(Z40=0,0,AR40/Z40)</f>
        <v/>
      </c>
      <c r="AY40" s="195">
        <f>IF(AA40=0,0,AS40/AA40)</f>
        <v/>
      </c>
      <c r="AZ40" s="195">
        <f>IF(AB40=0,0,AT40/AB40)</f>
        <v/>
      </c>
      <c r="BA40" s="195">
        <f>IF(AC40=0,0,AU40/AC40)</f>
        <v/>
      </c>
      <c r="BB40" s="195">
        <f>IF(AD40=0,0,AV40/AD40)</f>
        <v/>
      </c>
      <c r="BC40" s="195">
        <f>IF(AE40=0,0,AW40/AE40)</f>
        <v/>
      </c>
      <c r="BD40" s="196">
        <f>IF(OR(AX40=0,AX40&lt;=-1),1,0)</f>
        <v/>
      </c>
      <c r="BE40" s="196">
        <f>IF(OR(AY40=0,AY40&lt;=-1),1,0)</f>
        <v/>
      </c>
      <c r="BF40" s="196">
        <f>IF(OR(AZ40=0,AZ40&lt;=-1),1,0)</f>
        <v/>
      </c>
      <c r="BG40" s="196">
        <f>IF(OR(BA40=0,BA40&lt;=-1),1,0)</f>
        <v/>
      </c>
      <c r="BH40" s="196">
        <f>IF(OR(BB40=0,BB40&lt;=-1),1,0)</f>
        <v/>
      </c>
      <c r="BI40" s="196">
        <f>IF(OR(BC40=0,BC40&lt;=-1),1,0)</f>
        <v/>
      </c>
      <c r="BJ40" s="197">
        <f>IF(AND('Brackets - prob'!B39&gt;H40-0.5,'Brackets - freq'!B39/'Brackets - prob'!B39&lt;N40/H40^2),1,0)</f>
        <v/>
      </c>
      <c r="BK40" s="197">
        <f>IF(AND('Brackets - prob'!C39&gt;I40-0.5,'Brackets - freq'!C39/'Brackets - prob'!C39&lt;O40/I40^2),1,0)</f>
        <v/>
      </c>
      <c r="BL40" s="197">
        <f>IF(AND('Brackets - prob'!D39&gt;J40-0.5,'Brackets - freq'!D39/'Brackets - prob'!D39&lt;P40/J40^2),1,0)</f>
        <v/>
      </c>
      <c r="BM40" s="197">
        <f>IF(AND('Brackets - prob'!E39&gt;K40-0.5,'Brackets - freq'!E39/'Brackets - prob'!E39&lt;Q40/K40^2),1,0)</f>
        <v/>
      </c>
      <c r="BN40" s="197">
        <f>IF(AND('Brackets - prob'!F39&gt;L40-0.5,'Brackets - freq'!F39/'Brackets - prob'!F39&lt;R40/L40^2),1,0)</f>
        <v/>
      </c>
      <c r="BO40" s="197">
        <f>IF(AND('Brackets - prob'!G39&gt;M40-0.5,'Brackets - freq'!G39/'Brackets - prob'!G39&lt;S40/M40^2),1,0)</f>
        <v/>
      </c>
    </row>
    <row r="41">
      <c r="A41" s="41" t="inlineStr">
        <is>
          <t>Kansas State</t>
        </is>
      </c>
      <c r="B41" s="51">
        <f>SUMPRODUCT('Brackets - prob'!B40:B41,'Brackets - freq'!B40:B41)</f>
        <v/>
      </c>
      <c r="C41" s="51">
        <f>C40</f>
        <v/>
      </c>
      <c r="D41" s="51">
        <f>D40</f>
        <v/>
      </c>
      <c r="E41" s="51">
        <f>E40</f>
        <v/>
      </c>
      <c r="F41" s="51">
        <f>F40</f>
        <v/>
      </c>
      <c r="G41" s="51">
        <f>G40</f>
        <v/>
      </c>
      <c r="H41" s="52">
        <f>MAX('Brackets - prob'!B40:B41)</f>
        <v/>
      </c>
      <c r="I41" s="52">
        <f>I40</f>
        <v/>
      </c>
      <c r="J41" s="52">
        <f>J40</f>
        <v/>
      </c>
      <c r="K41" s="52">
        <f>K40</f>
        <v/>
      </c>
      <c r="L41" s="52">
        <f>L40</f>
        <v/>
      </c>
      <c r="M41" s="52">
        <f>M40</f>
        <v/>
      </c>
      <c r="N41" s="53">
        <f>AVERAGEIF('Brackets - prob'!B40:B41,"="&amp;H41,'Brackets - freq'!B40:B41)*H41</f>
        <v/>
      </c>
      <c r="O41" s="53">
        <f>O40</f>
        <v/>
      </c>
      <c r="P41" s="53">
        <f>P40</f>
        <v/>
      </c>
      <c r="Q41" s="53">
        <f>Q40</f>
        <v/>
      </c>
      <c r="R41" s="53">
        <f>R40</f>
        <v/>
      </c>
      <c r="S41" s="53">
        <f>S40</f>
        <v/>
      </c>
      <c r="T41" s="191">
        <f>Bracket!E$2*('Brackets - prob'!B40-H41)</f>
        <v/>
      </c>
      <c r="U41" s="191">
        <f>Bracket!F$2*('Brackets - prob'!C40-I41)</f>
        <v/>
      </c>
      <c r="V41" s="191">
        <f>Bracket!G$2*('Brackets - prob'!D40-J41)</f>
        <v/>
      </c>
      <c r="W41" s="191">
        <f>Bracket!H$2*('Brackets - prob'!E40-K41)</f>
        <v/>
      </c>
      <c r="X41" s="191">
        <f>Bracket!I$2*('Brackets - prob'!F40-L41)</f>
        <v/>
      </c>
      <c r="Y41" s="191">
        <f>Bracket!J$2*('Brackets - prob'!G40-M41)</f>
        <v/>
      </c>
      <c r="Z41" s="192">
        <f>SUM(T41:$T41)</f>
        <v/>
      </c>
      <c r="AA41" s="192">
        <f>SUM($T41:U41)</f>
        <v/>
      </c>
      <c r="AB41" s="192">
        <f>SUM($T41:V41)</f>
        <v/>
      </c>
      <c r="AC41" s="192">
        <f>SUM($T41:W41)</f>
        <v/>
      </c>
      <c r="AD41" s="192">
        <f>SUM($T41:X41)</f>
        <v/>
      </c>
      <c r="AE41" s="192">
        <f>SUM($T41:Y41)</f>
        <v/>
      </c>
      <c r="AF41" s="193">
        <f>'Brackets - prob'!B40*(1-'Brackets - prob'!B40-2*'Brackets - freq'!B40+2*B41)+B41-B41^2</f>
        <v/>
      </c>
      <c r="AG41" s="193">
        <f>'Brackets - prob'!C40*(1-'Brackets - prob'!C40-2*'Brackets - freq'!C40+2*C41)+C41-C41^2</f>
        <v/>
      </c>
      <c r="AH41" s="193">
        <f>'Brackets - prob'!D40*(1-'Brackets - prob'!D40-2*'Brackets - freq'!D40+2*D41)+D41-D41^2</f>
        <v/>
      </c>
      <c r="AI41" s="193">
        <f>'Brackets - prob'!E40*(1-'Brackets - prob'!E40-2*'Brackets - freq'!E40+2*E41)+E41-E41^2</f>
        <v/>
      </c>
      <c r="AJ41" s="193">
        <f>'Brackets - prob'!F40*(1-'Brackets - prob'!F40-2*'Brackets - freq'!F40+2*F41)+F41-F41^2</f>
        <v/>
      </c>
      <c r="AK41" s="193">
        <f>'Brackets - prob'!G40*(1-'Brackets - prob'!G40-2*'Brackets - freq'!G40+2*G41)+G41-G41^2</f>
        <v/>
      </c>
      <c r="AL41" s="194">
        <f>Bracket!E$2^2*(('Brackets - prob'!B40-H41)*(1+2*B41)-'Brackets - prob'!B40^2+H41^2-2*('Brackets - prob'!B40*'Brackets - freq'!B40-N41))</f>
        <v/>
      </c>
      <c r="AM41" s="194">
        <f>Bracket!F$2^2*(('Brackets - prob'!C40-I41)*(1+2*C41)-'Brackets - prob'!C40^2+I41^2-2*('Brackets - prob'!C40*'Brackets - freq'!C40-O41))</f>
        <v/>
      </c>
      <c r="AN41" s="194">
        <f>Bracket!G$2^2*(('Brackets - prob'!D40-J41)*(1+2*D41)-'Brackets - prob'!D40^2+J41^2-2*('Brackets - prob'!D40*'Brackets - freq'!D40-P41))</f>
        <v/>
      </c>
      <c r="AO41" s="194">
        <f>Bracket!H$2^2*(('Brackets - prob'!E40-K41)*(1+2*E41)-'Brackets - prob'!E40^2+K41^2-2*('Brackets - prob'!E40*'Brackets - freq'!E40-Q41))</f>
        <v/>
      </c>
      <c r="AP41" s="194">
        <f>Bracket!I$2^2*(('Brackets - prob'!F40-L41)*(1+2*F41)-'Brackets - prob'!F40^2+L41^2-2*('Brackets - prob'!F40*'Brackets - freq'!F40-R41))</f>
        <v/>
      </c>
      <c r="AQ41" s="194">
        <f>Bracket!J$2^2*(('Brackets - prob'!G40-M41)*(1+2*G41)-'Brackets - prob'!G40^2+M41^2-2*('Brackets - prob'!G40*'Brackets - freq'!G40-S41))</f>
        <v/>
      </c>
      <c r="AR41" s="192">
        <f>SUM($AL41:AL41)</f>
        <v/>
      </c>
      <c r="AS41" s="192">
        <f>SUM($AL41:AM41)</f>
        <v/>
      </c>
      <c r="AT41" s="192">
        <f>SUM($AL41:AN41)</f>
        <v/>
      </c>
      <c r="AU41" s="192">
        <f>SUM($AL41:AO41)</f>
        <v/>
      </c>
      <c r="AV41" s="192">
        <f>SUM($AL41:AP41)</f>
        <v/>
      </c>
      <c r="AW41" s="192">
        <f>SUM($AL41:AQ41)</f>
        <v/>
      </c>
      <c r="AX41" s="195">
        <f>IF(Z41=0,0,AR41/Z41)</f>
        <v/>
      </c>
      <c r="AY41" s="195">
        <f>IF(AA41=0,0,AS41/AA41)</f>
        <v/>
      </c>
      <c r="AZ41" s="195">
        <f>IF(AB41=0,0,AT41/AB41)</f>
        <v/>
      </c>
      <c r="BA41" s="195">
        <f>IF(AC41=0,0,AU41/AC41)</f>
        <v/>
      </c>
      <c r="BB41" s="195">
        <f>IF(AD41=0,0,AV41/AD41)</f>
        <v/>
      </c>
      <c r="BC41" s="195">
        <f>IF(AE41=0,0,AW41/AE41)</f>
        <v/>
      </c>
      <c r="BD41" s="196">
        <f>IF(OR(AX41=0,AX41&lt;=-1),1,0)</f>
        <v/>
      </c>
      <c r="BE41" s="196">
        <f>IF(OR(AY41=0,AY41&lt;=-1),1,0)</f>
        <v/>
      </c>
      <c r="BF41" s="196">
        <f>IF(OR(AZ41=0,AZ41&lt;=-1),1,0)</f>
        <v/>
      </c>
      <c r="BG41" s="196">
        <f>IF(OR(BA41=0,BA41&lt;=-1),1,0)</f>
        <v/>
      </c>
      <c r="BH41" s="196">
        <f>IF(OR(BB41=0,BB41&lt;=-1),1,0)</f>
        <v/>
      </c>
      <c r="BI41" s="196">
        <f>IF(OR(BC41=0,BC41&lt;=-1),1,0)</f>
        <v/>
      </c>
      <c r="BJ41" s="197">
        <f>IF(AND('Brackets - prob'!B40&gt;H41-0.5,'Brackets - freq'!B40/'Brackets - prob'!B40&lt;N41/H41^2),1,0)</f>
        <v/>
      </c>
      <c r="BK41" s="197">
        <f>IF(AND('Brackets - prob'!C40&gt;I41-0.5,'Brackets - freq'!C40/'Brackets - prob'!C40&lt;O41/I41^2),1,0)</f>
        <v/>
      </c>
      <c r="BL41" s="197">
        <f>IF(AND('Brackets - prob'!D40&gt;J41-0.5,'Brackets - freq'!D40/'Brackets - prob'!D40&lt;P41/J41^2),1,0)</f>
        <v/>
      </c>
      <c r="BM41" s="197">
        <f>IF(AND('Brackets - prob'!E40&gt;K41-0.5,'Brackets - freq'!E40/'Brackets - prob'!E40&lt;Q41/K41^2),1,0)</f>
        <v/>
      </c>
      <c r="BN41" s="197">
        <f>IF(AND('Brackets - prob'!F40&gt;L41-0.5,'Brackets - freq'!F40/'Brackets - prob'!F40&lt;R41/L41^2),1,0)</f>
        <v/>
      </c>
      <c r="BO41" s="197">
        <f>IF(AND('Brackets - prob'!G40&gt;M41-0.5,'Brackets - freq'!G40/'Brackets - prob'!G40&lt;S41/M41^2),1,0)</f>
        <v/>
      </c>
    </row>
    <row r="42">
      <c r="A42" s="41" t="inlineStr">
        <is>
          <t>UC Irvine</t>
        </is>
      </c>
      <c r="B42" s="51">
        <f>B41</f>
        <v/>
      </c>
      <c r="C42" s="51">
        <f>C41</f>
        <v/>
      </c>
      <c r="D42" s="51">
        <f>D41</f>
        <v/>
      </c>
      <c r="E42" s="51">
        <f>E41</f>
        <v/>
      </c>
      <c r="F42" s="51">
        <f>F41</f>
        <v/>
      </c>
      <c r="G42" s="51">
        <f>G41</f>
        <v/>
      </c>
      <c r="H42" s="52">
        <f>H41</f>
        <v/>
      </c>
      <c r="I42" s="52">
        <f>I41</f>
        <v/>
      </c>
      <c r="J42" s="52">
        <f>J41</f>
        <v/>
      </c>
      <c r="K42" s="52">
        <f>K41</f>
        <v/>
      </c>
      <c r="L42" s="52">
        <f>L41</f>
        <v/>
      </c>
      <c r="M42" s="52">
        <f>M41</f>
        <v/>
      </c>
      <c r="N42" s="53">
        <f>N41</f>
        <v/>
      </c>
      <c r="O42" s="53">
        <f>O41</f>
        <v/>
      </c>
      <c r="P42" s="53">
        <f>P41</f>
        <v/>
      </c>
      <c r="Q42" s="53">
        <f>Q41</f>
        <v/>
      </c>
      <c r="R42" s="53">
        <f>R41</f>
        <v/>
      </c>
      <c r="S42" s="53">
        <f>S41</f>
        <v/>
      </c>
      <c r="T42" s="191">
        <f>Bracket!E$2*('Brackets - prob'!B41-H42)</f>
        <v/>
      </c>
      <c r="U42" s="191">
        <f>Bracket!F$2*('Brackets - prob'!C41-I42)</f>
        <v/>
      </c>
      <c r="V42" s="191">
        <f>Bracket!G$2*('Brackets - prob'!D41-J42)</f>
        <v/>
      </c>
      <c r="W42" s="191">
        <f>Bracket!H$2*('Brackets - prob'!E41-K42)</f>
        <v/>
      </c>
      <c r="X42" s="191">
        <f>Bracket!I$2*('Brackets - prob'!F41-L42)</f>
        <v/>
      </c>
      <c r="Y42" s="191">
        <f>Bracket!J$2*('Brackets - prob'!G41-M42)</f>
        <v/>
      </c>
      <c r="Z42" s="192">
        <f>SUM(T42:$T42)</f>
        <v/>
      </c>
      <c r="AA42" s="192">
        <f>SUM($T42:U42)</f>
        <v/>
      </c>
      <c r="AB42" s="192">
        <f>SUM($T42:V42)</f>
        <v/>
      </c>
      <c r="AC42" s="192">
        <f>SUM($T42:W42)</f>
        <v/>
      </c>
      <c r="AD42" s="192">
        <f>SUM($T42:X42)</f>
        <v/>
      </c>
      <c r="AE42" s="192">
        <f>SUM($T42:Y42)</f>
        <v/>
      </c>
      <c r="AF42" s="193">
        <f>'Brackets - prob'!B41*(1-'Brackets - prob'!B41-2*'Brackets - freq'!B41+2*B42)+B42-B42^2</f>
        <v/>
      </c>
      <c r="AG42" s="193">
        <f>'Brackets - prob'!C41*(1-'Brackets - prob'!C41-2*'Brackets - freq'!C41+2*C42)+C42-C42^2</f>
        <v/>
      </c>
      <c r="AH42" s="193">
        <f>'Brackets - prob'!D41*(1-'Brackets - prob'!D41-2*'Brackets - freq'!D41+2*D42)+D42-D42^2</f>
        <v/>
      </c>
      <c r="AI42" s="193">
        <f>'Brackets - prob'!E41*(1-'Brackets - prob'!E41-2*'Brackets - freq'!E41+2*E42)+E42-E42^2</f>
        <v/>
      </c>
      <c r="AJ42" s="193">
        <f>'Brackets - prob'!F41*(1-'Brackets - prob'!F41-2*'Brackets - freq'!F41+2*F42)+F42-F42^2</f>
        <v/>
      </c>
      <c r="AK42" s="193">
        <f>'Brackets - prob'!G41*(1-'Brackets - prob'!G41-2*'Brackets - freq'!G41+2*G42)+G42-G42^2</f>
        <v/>
      </c>
      <c r="AL42" s="194">
        <f>Bracket!E$2^2*(('Brackets - prob'!B41-H42)*(1+2*B42)-'Brackets - prob'!B41^2+H42^2-2*('Brackets - prob'!B41*'Brackets - freq'!B41-N42))</f>
        <v/>
      </c>
      <c r="AM42" s="194">
        <f>Bracket!F$2^2*(('Brackets - prob'!C41-I42)*(1+2*C42)-'Brackets - prob'!C41^2+I42^2-2*('Brackets - prob'!C41*'Brackets - freq'!C41-O42))</f>
        <v/>
      </c>
      <c r="AN42" s="194">
        <f>Bracket!G$2^2*(('Brackets - prob'!D41-J42)*(1+2*D42)-'Brackets - prob'!D41^2+J42^2-2*('Brackets - prob'!D41*'Brackets - freq'!D41-P42))</f>
        <v/>
      </c>
      <c r="AO42" s="194">
        <f>Bracket!H$2^2*(('Brackets - prob'!E41-K42)*(1+2*E42)-'Brackets - prob'!E41^2+K42^2-2*('Brackets - prob'!E41*'Brackets - freq'!E41-Q42))</f>
        <v/>
      </c>
      <c r="AP42" s="194">
        <f>Bracket!I$2^2*(('Brackets - prob'!F41-L42)*(1+2*F42)-'Brackets - prob'!F41^2+L42^2-2*('Brackets - prob'!F41*'Brackets - freq'!F41-R42))</f>
        <v/>
      </c>
      <c r="AQ42" s="194">
        <f>Bracket!J$2^2*(('Brackets - prob'!G41-M42)*(1+2*G42)-'Brackets - prob'!G41^2+M42^2-2*('Brackets - prob'!G41*'Brackets - freq'!G41-S42))</f>
        <v/>
      </c>
      <c r="AR42" s="192">
        <f>SUM($AL42:AL42)</f>
        <v/>
      </c>
      <c r="AS42" s="192">
        <f>SUM($AL42:AM42)</f>
        <v/>
      </c>
      <c r="AT42" s="192">
        <f>SUM($AL42:AN42)</f>
        <v/>
      </c>
      <c r="AU42" s="192">
        <f>SUM($AL42:AO42)</f>
        <v/>
      </c>
      <c r="AV42" s="192">
        <f>SUM($AL42:AP42)</f>
        <v/>
      </c>
      <c r="AW42" s="192">
        <f>SUM($AL42:AQ42)</f>
        <v/>
      </c>
      <c r="AX42" s="195">
        <f>IF(Z42=0,0,AR42/Z42)</f>
        <v/>
      </c>
      <c r="AY42" s="195">
        <f>IF(AA42=0,0,AS42/AA42)</f>
        <v/>
      </c>
      <c r="AZ42" s="195">
        <f>IF(AB42=0,0,AT42/AB42)</f>
        <v/>
      </c>
      <c r="BA42" s="195">
        <f>IF(AC42=0,0,AU42/AC42)</f>
        <v/>
      </c>
      <c r="BB42" s="195">
        <f>IF(AD42=0,0,AV42/AD42)</f>
        <v/>
      </c>
      <c r="BC42" s="195">
        <f>IF(AE42=0,0,AW42/AE42)</f>
        <v/>
      </c>
      <c r="BD42" s="196">
        <f>IF(OR(AX42=0,AX42&lt;=-1),1,0)</f>
        <v/>
      </c>
      <c r="BE42" s="196">
        <f>IF(OR(AY42=0,AY42&lt;=-1),1,0)</f>
        <v/>
      </c>
      <c r="BF42" s="196">
        <f>IF(OR(AZ42=0,AZ42&lt;=-1),1,0)</f>
        <v/>
      </c>
      <c r="BG42" s="196">
        <f>IF(OR(BA42=0,BA42&lt;=-1),1,0)</f>
        <v/>
      </c>
      <c r="BH42" s="196">
        <f>IF(OR(BB42=0,BB42&lt;=-1),1,0)</f>
        <v/>
      </c>
      <c r="BI42" s="196">
        <f>IF(OR(BC42=0,BC42&lt;=-1),1,0)</f>
        <v/>
      </c>
      <c r="BJ42" s="197">
        <f>IF(AND('Brackets - prob'!B41&gt;H42-0.5,'Brackets - freq'!B41/'Brackets - prob'!B41&lt;N42/H42^2),1,0)</f>
        <v/>
      </c>
      <c r="BK42" s="197">
        <f>IF(AND('Brackets - prob'!C41&gt;I42-0.5,'Brackets - freq'!C41/'Brackets - prob'!C41&lt;O42/I42^2),1,0)</f>
        <v/>
      </c>
      <c r="BL42" s="197">
        <f>IF(AND('Brackets - prob'!D41&gt;J42-0.5,'Brackets - freq'!D41/'Brackets - prob'!D41&lt;P42/J42^2),1,0)</f>
        <v/>
      </c>
      <c r="BM42" s="197">
        <f>IF(AND('Brackets - prob'!E41&gt;K42-0.5,'Brackets - freq'!E41/'Brackets - prob'!E41&lt;Q42/K42^2),1,0)</f>
        <v/>
      </c>
      <c r="BN42" s="197">
        <f>IF(AND('Brackets - prob'!F41&gt;L42-0.5,'Brackets - freq'!F41/'Brackets - prob'!F41&lt;R42/L42^2),1,0)</f>
        <v/>
      </c>
      <c r="BO42" s="197">
        <f>IF(AND('Brackets - prob'!G41&gt;M42-0.5,'Brackets - freq'!G41/'Brackets - prob'!G41&lt;S42/M42^2),1,0)</f>
        <v/>
      </c>
    </row>
    <row r="43">
      <c r="A43" s="41" t="inlineStr">
        <is>
          <t>Villanova</t>
        </is>
      </c>
      <c r="B43" s="51">
        <f>SUMPRODUCT('Brackets - prob'!B42:B43,'Brackets - freq'!B42:B43)</f>
        <v/>
      </c>
      <c r="C43" s="51">
        <f>SUMPRODUCT('Brackets - prob'!C42:C45,'Brackets - freq'!C42:C45)</f>
        <v/>
      </c>
      <c r="D43" s="51">
        <f>SUMPRODUCT('Brackets - prob'!D42:D49,'Brackets - freq'!D42:D49)</f>
        <v/>
      </c>
      <c r="E43" s="51">
        <f>E42</f>
        <v/>
      </c>
      <c r="F43" s="51">
        <f>F42</f>
        <v/>
      </c>
      <c r="G43" s="51">
        <f>G42</f>
        <v/>
      </c>
      <c r="H43" s="52">
        <f>MAX('Brackets - prob'!B42:B43)</f>
        <v/>
      </c>
      <c r="I43" s="52">
        <f>MAX('Brackets - prob'!C42:C45)</f>
        <v/>
      </c>
      <c r="J43" s="52">
        <f>MAX('Brackets - prob'!D42:D49)</f>
        <v/>
      </c>
      <c r="K43" s="52">
        <f>K42</f>
        <v/>
      </c>
      <c r="L43" s="52">
        <f>L42</f>
        <v/>
      </c>
      <c r="M43" s="52">
        <f>M42</f>
        <v/>
      </c>
      <c r="N43" s="53">
        <f>AVERAGEIF('Brackets - prob'!B42:B43,"="&amp;H43,'Brackets - freq'!B42:B43)*H43</f>
        <v/>
      </c>
      <c r="O43" s="53">
        <f>AVERAGEIF('Brackets - prob'!C42:C45,"="&amp;I43,'Brackets - freq'!C42:C45)*I43</f>
        <v/>
      </c>
      <c r="P43" s="53">
        <f>AVERAGEIF('Brackets - prob'!D42:D49,"="&amp;J43,'Brackets - freq'!D42:D49)*J43</f>
        <v/>
      </c>
      <c r="Q43" s="53">
        <f>Q42</f>
        <v/>
      </c>
      <c r="R43" s="53">
        <f>R42</f>
        <v/>
      </c>
      <c r="S43" s="53">
        <f>S42</f>
        <v/>
      </c>
      <c r="T43" s="191">
        <f>Bracket!E$2*('Brackets - prob'!B42-H43)</f>
        <v/>
      </c>
      <c r="U43" s="191">
        <f>Bracket!F$2*('Brackets - prob'!C42-I43)</f>
        <v/>
      </c>
      <c r="V43" s="191">
        <f>Bracket!G$2*('Brackets - prob'!D42-J43)</f>
        <v/>
      </c>
      <c r="W43" s="191">
        <f>Bracket!H$2*('Brackets - prob'!E42-K43)</f>
        <v/>
      </c>
      <c r="X43" s="191">
        <f>Bracket!I$2*('Brackets - prob'!F42-L43)</f>
        <v/>
      </c>
      <c r="Y43" s="191">
        <f>Bracket!J$2*('Brackets - prob'!G42-M43)</f>
        <v/>
      </c>
      <c r="Z43" s="192">
        <f>SUM(T43:$T43)</f>
        <v/>
      </c>
      <c r="AA43" s="192">
        <f>SUM($T43:U43)</f>
        <v/>
      </c>
      <c r="AB43" s="192">
        <f>SUM($T43:V43)</f>
        <v/>
      </c>
      <c r="AC43" s="192">
        <f>SUM($T43:W43)</f>
        <v/>
      </c>
      <c r="AD43" s="192">
        <f>SUM($T43:X43)</f>
        <v/>
      </c>
      <c r="AE43" s="192">
        <f>SUM($T43:Y43)</f>
        <v/>
      </c>
      <c r="AF43" s="193">
        <f>'Brackets - prob'!B42*(1-'Brackets - prob'!B42-2*'Brackets - freq'!B42+2*B43)+B43-B43^2</f>
        <v/>
      </c>
      <c r="AG43" s="193">
        <f>'Brackets - prob'!C42*(1-'Brackets - prob'!C42-2*'Brackets - freq'!C42+2*C43)+C43-C43^2</f>
        <v/>
      </c>
      <c r="AH43" s="193">
        <f>'Brackets - prob'!D42*(1-'Brackets - prob'!D42-2*'Brackets - freq'!D42+2*D43)+D43-D43^2</f>
        <v/>
      </c>
      <c r="AI43" s="193">
        <f>'Brackets - prob'!E42*(1-'Brackets - prob'!E42-2*'Brackets - freq'!E42+2*E43)+E43-E43^2</f>
        <v/>
      </c>
      <c r="AJ43" s="193">
        <f>'Brackets - prob'!F42*(1-'Brackets - prob'!F42-2*'Brackets - freq'!F42+2*F43)+F43-F43^2</f>
        <v/>
      </c>
      <c r="AK43" s="193">
        <f>'Brackets - prob'!G42*(1-'Brackets - prob'!G42-2*'Brackets - freq'!G42+2*G43)+G43-G43^2</f>
        <v/>
      </c>
      <c r="AL43" s="194">
        <f>Bracket!E$2^2*(('Brackets - prob'!B42-H43)*(1+2*B43)-'Brackets - prob'!B42^2+H43^2-2*('Brackets - prob'!B42*'Brackets - freq'!B42-N43))</f>
        <v/>
      </c>
      <c r="AM43" s="194">
        <f>Bracket!F$2^2*(('Brackets - prob'!C42-I43)*(1+2*C43)-'Brackets - prob'!C42^2+I43^2-2*('Brackets - prob'!C42*'Brackets - freq'!C42-O43))</f>
        <v/>
      </c>
      <c r="AN43" s="194">
        <f>Bracket!G$2^2*(('Brackets - prob'!D42-J43)*(1+2*D43)-'Brackets - prob'!D42^2+J43^2-2*('Brackets - prob'!D42*'Brackets - freq'!D42-P43))</f>
        <v/>
      </c>
      <c r="AO43" s="194">
        <f>Bracket!H$2^2*(('Brackets - prob'!E42-K43)*(1+2*E43)-'Brackets - prob'!E42^2+K43^2-2*('Brackets - prob'!E42*'Brackets - freq'!E42-Q43))</f>
        <v/>
      </c>
      <c r="AP43" s="194">
        <f>Bracket!I$2^2*(('Brackets - prob'!F42-L43)*(1+2*F43)-'Brackets - prob'!F42^2+L43^2-2*('Brackets - prob'!F42*'Brackets - freq'!F42-R43))</f>
        <v/>
      </c>
      <c r="AQ43" s="194">
        <f>Bracket!J$2^2*(('Brackets - prob'!G42-M43)*(1+2*G43)-'Brackets - prob'!G42^2+M43^2-2*('Brackets - prob'!G42*'Brackets - freq'!G42-S43))</f>
        <v/>
      </c>
      <c r="AR43" s="192">
        <f>SUM($AL43:AL43)</f>
        <v/>
      </c>
      <c r="AS43" s="192">
        <f>SUM($AL43:AM43)</f>
        <v/>
      </c>
      <c r="AT43" s="192">
        <f>SUM($AL43:AN43)</f>
        <v/>
      </c>
      <c r="AU43" s="192">
        <f>SUM($AL43:AO43)</f>
        <v/>
      </c>
      <c r="AV43" s="192">
        <f>SUM($AL43:AP43)</f>
        <v/>
      </c>
      <c r="AW43" s="192">
        <f>SUM($AL43:AQ43)</f>
        <v/>
      </c>
      <c r="AX43" s="195">
        <f>IF(Z43=0,0,AR43/Z43)</f>
        <v/>
      </c>
      <c r="AY43" s="195">
        <f>IF(AA43=0,0,AS43/AA43)</f>
        <v/>
      </c>
      <c r="AZ43" s="195">
        <f>IF(AB43=0,0,AT43/AB43)</f>
        <v/>
      </c>
      <c r="BA43" s="195">
        <f>IF(AC43=0,0,AU43/AC43)</f>
        <v/>
      </c>
      <c r="BB43" s="195">
        <f>IF(AD43=0,0,AV43/AD43)</f>
        <v/>
      </c>
      <c r="BC43" s="195">
        <f>IF(AE43=0,0,AW43/AE43)</f>
        <v/>
      </c>
      <c r="BD43" s="196">
        <f>IF(OR(AX43=0,AX43&lt;=-1),1,0)</f>
        <v/>
      </c>
      <c r="BE43" s="196">
        <f>IF(OR(AY43=0,AY43&lt;=-1),1,0)</f>
        <v/>
      </c>
      <c r="BF43" s="196">
        <f>IF(OR(AZ43=0,AZ43&lt;=-1),1,0)</f>
        <v/>
      </c>
      <c r="BG43" s="196">
        <f>IF(OR(BA43=0,BA43&lt;=-1),1,0)</f>
        <v/>
      </c>
      <c r="BH43" s="196">
        <f>IF(OR(BB43=0,BB43&lt;=-1),1,0)</f>
        <v/>
      </c>
      <c r="BI43" s="196">
        <f>IF(OR(BC43=0,BC43&lt;=-1),1,0)</f>
        <v/>
      </c>
      <c r="BJ43" s="197">
        <f>IF(AND('Brackets - prob'!B42&gt;H43-0.5,'Brackets - freq'!B42/'Brackets - prob'!B42&lt;N43/H43^2),1,0)</f>
        <v/>
      </c>
      <c r="BK43" s="197">
        <f>IF(AND('Brackets - prob'!C42&gt;I43-0.5,'Brackets - freq'!C42/'Brackets - prob'!C42&lt;O43/I43^2),1,0)</f>
        <v/>
      </c>
      <c r="BL43" s="197">
        <f>IF(AND('Brackets - prob'!D42&gt;J43-0.5,'Brackets - freq'!D42/'Brackets - prob'!D42&lt;P43/J43^2),1,0)</f>
        <v/>
      </c>
      <c r="BM43" s="197">
        <f>IF(AND('Brackets - prob'!E42&gt;K43-0.5,'Brackets - freq'!E42/'Brackets - prob'!E42&lt;Q43/K43^2),1,0)</f>
        <v/>
      </c>
      <c r="BN43" s="197">
        <f>IF(AND('Brackets - prob'!F42&gt;L43-0.5,'Brackets - freq'!F42/'Brackets - prob'!F42&lt;R43/L43^2),1,0)</f>
        <v/>
      </c>
      <c r="BO43" s="197">
        <f>IF(AND('Brackets - prob'!G42&gt;M43-0.5,'Brackets - freq'!G42/'Brackets - prob'!G42&lt;S43/M43^2),1,0)</f>
        <v/>
      </c>
    </row>
    <row r="44">
      <c r="A44" s="41" t="inlineStr">
        <is>
          <t>Saint Mary's</t>
        </is>
      </c>
      <c r="B44" s="51">
        <f>B43</f>
        <v/>
      </c>
      <c r="C44" s="51">
        <f>C43</f>
        <v/>
      </c>
      <c r="D44" s="51">
        <f>D43</f>
        <v/>
      </c>
      <c r="E44" s="51">
        <f>E43</f>
        <v/>
      </c>
      <c r="F44" s="51">
        <f>F43</f>
        <v/>
      </c>
      <c r="G44" s="51">
        <f>G43</f>
        <v/>
      </c>
      <c r="H44" s="52">
        <f>H43</f>
        <v/>
      </c>
      <c r="I44" s="52">
        <f>I43</f>
        <v/>
      </c>
      <c r="J44" s="52">
        <f>J43</f>
        <v/>
      </c>
      <c r="K44" s="52">
        <f>K43</f>
        <v/>
      </c>
      <c r="L44" s="52">
        <f>L43</f>
        <v/>
      </c>
      <c r="M44" s="52">
        <f>M43</f>
        <v/>
      </c>
      <c r="N44" s="53">
        <f>N43</f>
        <v/>
      </c>
      <c r="O44" s="53">
        <f>O43</f>
        <v/>
      </c>
      <c r="P44" s="53">
        <f>P43</f>
        <v/>
      </c>
      <c r="Q44" s="53">
        <f>Q43</f>
        <v/>
      </c>
      <c r="R44" s="53">
        <f>R43</f>
        <v/>
      </c>
      <c r="S44" s="53">
        <f>S43</f>
        <v/>
      </c>
      <c r="T44" s="191">
        <f>Bracket!E$2*('Brackets - prob'!B43-H44)</f>
        <v/>
      </c>
      <c r="U44" s="191">
        <f>Bracket!F$2*('Brackets - prob'!C43-I44)</f>
        <v/>
      </c>
      <c r="V44" s="191">
        <f>Bracket!G$2*('Brackets - prob'!D43-J44)</f>
        <v/>
      </c>
      <c r="W44" s="191">
        <f>Bracket!H$2*('Brackets - prob'!E43-K44)</f>
        <v/>
      </c>
      <c r="X44" s="191">
        <f>Bracket!I$2*('Brackets - prob'!F43-L44)</f>
        <v/>
      </c>
      <c r="Y44" s="191">
        <f>Bracket!J$2*('Brackets - prob'!G43-M44)</f>
        <v/>
      </c>
      <c r="Z44" s="192">
        <f>SUM(T44:$T44)</f>
        <v/>
      </c>
      <c r="AA44" s="192">
        <f>SUM($T44:U44)</f>
        <v/>
      </c>
      <c r="AB44" s="192">
        <f>SUM($T44:V44)</f>
        <v/>
      </c>
      <c r="AC44" s="192">
        <f>SUM($T44:W44)</f>
        <v/>
      </c>
      <c r="AD44" s="192">
        <f>SUM($T44:X44)</f>
        <v/>
      </c>
      <c r="AE44" s="192">
        <f>SUM($T44:Y44)</f>
        <v/>
      </c>
      <c r="AF44" s="193">
        <f>'Brackets - prob'!B43*(1-'Brackets - prob'!B43-2*'Brackets - freq'!B43+2*B44)+B44-B44^2</f>
        <v/>
      </c>
      <c r="AG44" s="193">
        <f>'Brackets - prob'!C43*(1-'Brackets - prob'!C43-2*'Brackets - freq'!C43+2*C44)+C44-C44^2</f>
        <v/>
      </c>
      <c r="AH44" s="193">
        <f>'Brackets - prob'!D43*(1-'Brackets - prob'!D43-2*'Brackets - freq'!D43+2*D44)+D44-D44^2</f>
        <v/>
      </c>
      <c r="AI44" s="193">
        <f>'Brackets - prob'!E43*(1-'Brackets - prob'!E43-2*'Brackets - freq'!E43+2*E44)+E44-E44^2</f>
        <v/>
      </c>
      <c r="AJ44" s="193">
        <f>'Brackets - prob'!F43*(1-'Brackets - prob'!F43-2*'Brackets - freq'!F43+2*F44)+F44-F44^2</f>
        <v/>
      </c>
      <c r="AK44" s="193">
        <f>'Brackets - prob'!G43*(1-'Brackets - prob'!G43-2*'Brackets - freq'!G43+2*G44)+G44-G44^2</f>
        <v/>
      </c>
      <c r="AL44" s="194">
        <f>Bracket!E$2^2*(('Brackets - prob'!B43-H44)*(1+2*B44)-'Brackets - prob'!B43^2+H44^2-2*('Brackets - prob'!B43*'Brackets - freq'!B43-N44))</f>
        <v/>
      </c>
      <c r="AM44" s="194">
        <f>Bracket!F$2^2*(('Brackets - prob'!C43-I44)*(1+2*C44)-'Brackets - prob'!C43^2+I44^2-2*('Brackets - prob'!C43*'Brackets - freq'!C43-O44))</f>
        <v/>
      </c>
      <c r="AN44" s="194">
        <f>Bracket!G$2^2*(('Brackets - prob'!D43-J44)*(1+2*D44)-'Brackets - prob'!D43^2+J44^2-2*('Brackets - prob'!D43*'Brackets - freq'!D43-P44))</f>
        <v/>
      </c>
      <c r="AO44" s="194">
        <f>Bracket!H$2^2*(('Brackets - prob'!E43-K44)*(1+2*E44)-'Brackets - prob'!E43^2+K44^2-2*('Brackets - prob'!E43*'Brackets - freq'!E43-Q44))</f>
        <v/>
      </c>
      <c r="AP44" s="194">
        <f>Bracket!I$2^2*(('Brackets - prob'!F43-L44)*(1+2*F44)-'Brackets - prob'!F43^2+L44^2-2*('Brackets - prob'!F43*'Brackets - freq'!F43-R44))</f>
        <v/>
      </c>
      <c r="AQ44" s="194">
        <f>Bracket!J$2^2*(('Brackets - prob'!G43-M44)*(1+2*G44)-'Brackets - prob'!G43^2+M44^2-2*('Brackets - prob'!G43*'Brackets - freq'!G43-S44))</f>
        <v/>
      </c>
      <c r="AR44" s="192">
        <f>SUM($AL44:AL44)</f>
        <v/>
      </c>
      <c r="AS44" s="192">
        <f>SUM($AL44:AM44)</f>
        <v/>
      </c>
      <c r="AT44" s="192">
        <f>SUM($AL44:AN44)</f>
        <v/>
      </c>
      <c r="AU44" s="192">
        <f>SUM($AL44:AO44)</f>
        <v/>
      </c>
      <c r="AV44" s="192">
        <f>SUM($AL44:AP44)</f>
        <v/>
      </c>
      <c r="AW44" s="192">
        <f>SUM($AL44:AQ44)</f>
        <v/>
      </c>
      <c r="AX44" s="195">
        <f>IF(Z44=0,0,AR44/Z44)</f>
        <v/>
      </c>
      <c r="AY44" s="195">
        <f>IF(AA44=0,0,AS44/AA44)</f>
        <v/>
      </c>
      <c r="AZ44" s="195">
        <f>IF(AB44=0,0,AT44/AB44)</f>
        <v/>
      </c>
      <c r="BA44" s="195">
        <f>IF(AC44=0,0,AU44/AC44)</f>
        <v/>
      </c>
      <c r="BB44" s="195">
        <f>IF(AD44=0,0,AV44/AD44)</f>
        <v/>
      </c>
      <c r="BC44" s="195">
        <f>IF(AE44=0,0,AW44/AE44)</f>
        <v/>
      </c>
      <c r="BD44" s="196">
        <f>IF(OR(AX44=0,AX44&lt;=-1),1,0)</f>
        <v/>
      </c>
      <c r="BE44" s="196">
        <f>IF(OR(AY44=0,AY44&lt;=-1),1,0)</f>
        <v/>
      </c>
      <c r="BF44" s="196">
        <f>IF(OR(AZ44=0,AZ44&lt;=-1),1,0)</f>
        <v/>
      </c>
      <c r="BG44" s="196">
        <f>IF(OR(BA44=0,BA44&lt;=-1),1,0)</f>
        <v/>
      </c>
      <c r="BH44" s="196">
        <f>IF(OR(BB44=0,BB44&lt;=-1),1,0)</f>
        <v/>
      </c>
      <c r="BI44" s="196">
        <f>IF(OR(BC44=0,BC44&lt;=-1),1,0)</f>
        <v/>
      </c>
      <c r="BJ44" s="197">
        <f>IF(AND('Brackets - prob'!B43&gt;H44-0.5,'Brackets - freq'!B43/'Brackets - prob'!B43&lt;N44/H44^2),1,0)</f>
        <v/>
      </c>
      <c r="BK44" s="197">
        <f>IF(AND('Brackets - prob'!C43&gt;I44-0.5,'Brackets - freq'!C43/'Brackets - prob'!C43&lt;O44/I44^2),1,0)</f>
        <v/>
      </c>
      <c r="BL44" s="197">
        <f>IF(AND('Brackets - prob'!D43&gt;J44-0.5,'Brackets - freq'!D43/'Brackets - prob'!D43&lt;P44/J44^2),1,0)</f>
        <v/>
      </c>
      <c r="BM44" s="197">
        <f>IF(AND('Brackets - prob'!E43&gt;K44-0.5,'Brackets - freq'!E43/'Brackets - prob'!E43&lt;Q44/K44^2),1,0)</f>
        <v/>
      </c>
      <c r="BN44" s="197">
        <f>IF(AND('Brackets - prob'!F43&gt;L44-0.5,'Brackets - freq'!F43/'Brackets - prob'!F43&lt;R44/L44^2),1,0)</f>
        <v/>
      </c>
      <c r="BO44" s="197">
        <f>IF(AND('Brackets - prob'!G43&gt;M44-0.5,'Brackets - freq'!G43/'Brackets - prob'!G43&lt;S44/M44^2),1,0)</f>
        <v/>
      </c>
    </row>
    <row r="45">
      <c r="A45" s="41" t="inlineStr">
        <is>
          <t>Purdue</t>
        </is>
      </c>
      <c r="B45" s="51">
        <f>SUMPRODUCT('Brackets - prob'!B44:B45,'Brackets - freq'!B44:B45)</f>
        <v/>
      </c>
      <c r="C45" s="51">
        <f>C44</f>
        <v/>
      </c>
      <c r="D45" s="51">
        <f>D44</f>
        <v/>
      </c>
      <c r="E45" s="51">
        <f>E44</f>
        <v/>
      </c>
      <c r="F45" s="51">
        <f>F44</f>
        <v/>
      </c>
      <c r="G45" s="51">
        <f>G44</f>
        <v/>
      </c>
      <c r="H45" s="52">
        <f>MAX('Brackets - prob'!B44:B45)</f>
        <v/>
      </c>
      <c r="I45" s="52">
        <f>I44</f>
        <v/>
      </c>
      <c r="J45" s="52">
        <f>J44</f>
        <v/>
      </c>
      <c r="K45" s="52">
        <f>K44</f>
        <v/>
      </c>
      <c r="L45" s="52">
        <f>L44</f>
        <v/>
      </c>
      <c r="M45" s="52">
        <f>M44</f>
        <v/>
      </c>
      <c r="N45" s="53">
        <f>AVERAGEIF('Brackets - prob'!B44:B45,"="&amp;H45,'Brackets - freq'!B44:B45)*H45</f>
        <v/>
      </c>
      <c r="O45" s="53">
        <f>O44</f>
        <v/>
      </c>
      <c r="P45" s="53">
        <f>P44</f>
        <v/>
      </c>
      <c r="Q45" s="53">
        <f>Q44</f>
        <v/>
      </c>
      <c r="R45" s="53">
        <f>R44</f>
        <v/>
      </c>
      <c r="S45" s="53">
        <f>S44</f>
        <v/>
      </c>
      <c r="T45" s="191">
        <f>Bracket!E$2*('Brackets - prob'!B44-H45)</f>
        <v/>
      </c>
      <c r="U45" s="191">
        <f>Bracket!F$2*('Brackets - prob'!C44-I45)</f>
        <v/>
      </c>
      <c r="V45" s="191">
        <f>Bracket!G$2*('Brackets - prob'!D44-J45)</f>
        <v/>
      </c>
      <c r="W45" s="191">
        <f>Bracket!H$2*('Brackets - prob'!E44-K45)</f>
        <v/>
      </c>
      <c r="X45" s="191">
        <f>Bracket!I$2*('Brackets - prob'!F44-L45)</f>
        <v/>
      </c>
      <c r="Y45" s="191">
        <f>Bracket!J$2*('Brackets - prob'!G44-M45)</f>
        <v/>
      </c>
      <c r="Z45" s="192">
        <f>SUM(T45:$T45)</f>
        <v/>
      </c>
      <c r="AA45" s="192">
        <f>SUM($T45:U45)</f>
        <v/>
      </c>
      <c r="AB45" s="192">
        <f>SUM($T45:V45)</f>
        <v/>
      </c>
      <c r="AC45" s="192">
        <f>SUM($T45:W45)</f>
        <v/>
      </c>
      <c r="AD45" s="192">
        <f>SUM($T45:X45)</f>
        <v/>
      </c>
      <c r="AE45" s="192">
        <f>SUM($T45:Y45)</f>
        <v/>
      </c>
      <c r="AF45" s="193">
        <f>'Brackets - prob'!B44*(1-'Brackets - prob'!B44-2*'Brackets - freq'!B44+2*B45)+B45-B45^2</f>
        <v/>
      </c>
      <c r="AG45" s="193">
        <f>'Brackets - prob'!C44*(1-'Brackets - prob'!C44-2*'Brackets - freq'!C44+2*C45)+C45-C45^2</f>
        <v/>
      </c>
      <c r="AH45" s="193">
        <f>'Brackets - prob'!D44*(1-'Brackets - prob'!D44-2*'Brackets - freq'!D44+2*D45)+D45-D45^2</f>
        <v/>
      </c>
      <c r="AI45" s="193">
        <f>'Brackets - prob'!E44*(1-'Brackets - prob'!E44-2*'Brackets - freq'!E44+2*E45)+E45-E45^2</f>
        <v/>
      </c>
      <c r="AJ45" s="193">
        <f>'Brackets - prob'!F44*(1-'Brackets - prob'!F44-2*'Brackets - freq'!F44+2*F45)+F45-F45^2</f>
        <v/>
      </c>
      <c r="AK45" s="193">
        <f>'Brackets - prob'!G44*(1-'Brackets - prob'!G44-2*'Brackets - freq'!G44+2*G45)+G45-G45^2</f>
        <v/>
      </c>
      <c r="AL45" s="194">
        <f>Bracket!E$2^2*(('Brackets - prob'!B44-H45)*(1+2*B45)-'Brackets - prob'!B44^2+H45^2-2*('Brackets - prob'!B44*'Brackets - freq'!B44-N45))</f>
        <v/>
      </c>
      <c r="AM45" s="194">
        <f>Bracket!F$2^2*(('Brackets - prob'!C44-I45)*(1+2*C45)-'Brackets - prob'!C44^2+I45^2-2*('Brackets - prob'!C44*'Brackets - freq'!C44-O45))</f>
        <v/>
      </c>
      <c r="AN45" s="194">
        <f>Bracket!G$2^2*(('Brackets - prob'!D44-J45)*(1+2*D45)-'Brackets - prob'!D44^2+J45^2-2*('Brackets - prob'!D44*'Brackets - freq'!D44-P45))</f>
        <v/>
      </c>
      <c r="AO45" s="194">
        <f>Bracket!H$2^2*(('Brackets - prob'!E44-K45)*(1+2*E45)-'Brackets - prob'!E44^2+K45^2-2*('Brackets - prob'!E44*'Brackets - freq'!E44-Q45))</f>
        <v/>
      </c>
      <c r="AP45" s="194">
        <f>Bracket!I$2^2*(('Brackets - prob'!F44-L45)*(1+2*F45)-'Brackets - prob'!F44^2+L45^2-2*('Brackets - prob'!F44*'Brackets - freq'!F44-R45))</f>
        <v/>
      </c>
      <c r="AQ45" s="194">
        <f>Bracket!J$2^2*(('Brackets - prob'!G44-M45)*(1+2*G45)-'Brackets - prob'!G44^2+M45^2-2*('Brackets - prob'!G44*'Brackets - freq'!G44-S45))</f>
        <v/>
      </c>
      <c r="AR45" s="192">
        <f>SUM($AL45:AL45)</f>
        <v/>
      </c>
      <c r="AS45" s="192">
        <f>SUM($AL45:AM45)</f>
        <v/>
      </c>
      <c r="AT45" s="192">
        <f>SUM($AL45:AN45)</f>
        <v/>
      </c>
      <c r="AU45" s="192">
        <f>SUM($AL45:AO45)</f>
        <v/>
      </c>
      <c r="AV45" s="192">
        <f>SUM($AL45:AP45)</f>
        <v/>
      </c>
      <c r="AW45" s="192">
        <f>SUM($AL45:AQ45)</f>
        <v/>
      </c>
      <c r="AX45" s="195">
        <f>IF(Z45=0,0,AR45/Z45)</f>
        <v/>
      </c>
      <c r="AY45" s="195">
        <f>IF(AA45=0,0,AS45/AA45)</f>
        <v/>
      </c>
      <c r="AZ45" s="195">
        <f>IF(AB45=0,0,AT45/AB45)</f>
        <v/>
      </c>
      <c r="BA45" s="195">
        <f>IF(AC45=0,0,AU45/AC45)</f>
        <v/>
      </c>
      <c r="BB45" s="195">
        <f>IF(AD45=0,0,AV45/AD45)</f>
        <v/>
      </c>
      <c r="BC45" s="195">
        <f>IF(AE45=0,0,AW45/AE45)</f>
        <v/>
      </c>
      <c r="BD45" s="196">
        <f>IF(OR(AX45=0,AX45&lt;=-1),1,0)</f>
        <v/>
      </c>
      <c r="BE45" s="196">
        <f>IF(OR(AY45=0,AY45&lt;=-1),1,0)</f>
        <v/>
      </c>
      <c r="BF45" s="196">
        <f>IF(OR(AZ45=0,AZ45&lt;=-1),1,0)</f>
        <v/>
      </c>
      <c r="BG45" s="196">
        <f>IF(OR(BA45=0,BA45&lt;=-1),1,0)</f>
        <v/>
      </c>
      <c r="BH45" s="196">
        <f>IF(OR(BB45=0,BB45&lt;=-1),1,0)</f>
        <v/>
      </c>
      <c r="BI45" s="196">
        <f>IF(OR(BC45=0,BC45&lt;=-1),1,0)</f>
        <v/>
      </c>
      <c r="BJ45" s="197">
        <f>IF(AND('Brackets - prob'!B44&gt;H45-0.5,'Brackets - freq'!B44/'Brackets - prob'!B44&lt;N45/H45^2),1,0)</f>
        <v/>
      </c>
      <c r="BK45" s="197">
        <f>IF(AND('Brackets - prob'!C44&gt;I45-0.5,'Brackets - freq'!C44/'Brackets - prob'!C44&lt;O45/I45^2),1,0)</f>
        <v/>
      </c>
      <c r="BL45" s="197">
        <f>IF(AND('Brackets - prob'!D44&gt;J45-0.5,'Brackets - freq'!D44/'Brackets - prob'!D44&lt;P45/J45^2),1,0)</f>
        <v/>
      </c>
      <c r="BM45" s="197">
        <f>IF(AND('Brackets - prob'!E44&gt;K45-0.5,'Brackets - freq'!E44/'Brackets - prob'!E44&lt;Q45/K45^2),1,0)</f>
        <v/>
      </c>
      <c r="BN45" s="197">
        <f>IF(AND('Brackets - prob'!F44&gt;L45-0.5,'Brackets - freq'!F44/'Brackets - prob'!F44&lt;R45/L45^2),1,0)</f>
        <v/>
      </c>
      <c r="BO45" s="197">
        <f>IF(AND('Brackets - prob'!G44&gt;M45-0.5,'Brackets - freq'!G44/'Brackets - prob'!G44&lt;S45/M45^2),1,0)</f>
        <v/>
      </c>
    </row>
    <row r="46">
      <c r="A46" s="41" t="inlineStr">
        <is>
          <t>Old Dominion</t>
        </is>
      </c>
      <c r="B46" s="51">
        <f>B45</f>
        <v/>
      </c>
      <c r="C46" s="51">
        <f>C45</f>
        <v/>
      </c>
      <c r="D46" s="51">
        <f>D45</f>
        <v/>
      </c>
      <c r="E46" s="51">
        <f>E45</f>
        <v/>
      </c>
      <c r="F46" s="51">
        <f>F45</f>
        <v/>
      </c>
      <c r="G46" s="51">
        <f>G45</f>
        <v/>
      </c>
      <c r="H46" s="52">
        <f>H45</f>
        <v/>
      </c>
      <c r="I46" s="52">
        <f>I45</f>
        <v/>
      </c>
      <c r="J46" s="52">
        <f>J45</f>
        <v/>
      </c>
      <c r="K46" s="52">
        <f>K45</f>
        <v/>
      </c>
      <c r="L46" s="52">
        <f>L45</f>
        <v/>
      </c>
      <c r="M46" s="52">
        <f>M45</f>
        <v/>
      </c>
      <c r="N46" s="53">
        <f>N45</f>
        <v/>
      </c>
      <c r="O46" s="53">
        <f>O45</f>
        <v/>
      </c>
      <c r="P46" s="53">
        <f>P45</f>
        <v/>
      </c>
      <c r="Q46" s="53">
        <f>Q45</f>
        <v/>
      </c>
      <c r="R46" s="53">
        <f>R45</f>
        <v/>
      </c>
      <c r="S46" s="53">
        <f>S45</f>
        <v/>
      </c>
      <c r="T46" s="191">
        <f>Bracket!E$2*('Brackets - prob'!B45-H46)</f>
        <v/>
      </c>
      <c r="U46" s="191">
        <f>Bracket!F$2*('Brackets - prob'!C45-I46)</f>
        <v/>
      </c>
      <c r="V46" s="191">
        <f>Bracket!G$2*('Brackets - prob'!D45-J46)</f>
        <v/>
      </c>
      <c r="W46" s="191">
        <f>Bracket!H$2*('Brackets - prob'!E45-K46)</f>
        <v/>
      </c>
      <c r="X46" s="191">
        <f>Bracket!I$2*('Brackets - prob'!F45-L46)</f>
        <v/>
      </c>
      <c r="Y46" s="191">
        <f>Bracket!J$2*('Brackets - prob'!G45-M46)</f>
        <v/>
      </c>
      <c r="Z46" s="192">
        <f>SUM(T46:$T46)</f>
        <v/>
      </c>
      <c r="AA46" s="192">
        <f>SUM($T46:U46)</f>
        <v/>
      </c>
      <c r="AB46" s="192">
        <f>SUM($T46:V46)</f>
        <v/>
      </c>
      <c r="AC46" s="192">
        <f>SUM($T46:W46)</f>
        <v/>
      </c>
      <c r="AD46" s="192">
        <f>SUM($T46:X46)</f>
        <v/>
      </c>
      <c r="AE46" s="192">
        <f>SUM($T46:Y46)</f>
        <v/>
      </c>
      <c r="AF46" s="193">
        <f>'Brackets - prob'!B45*(1-'Brackets - prob'!B45-2*'Brackets - freq'!B45+2*B46)+B46-B46^2</f>
        <v/>
      </c>
      <c r="AG46" s="193">
        <f>'Brackets - prob'!C45*(1-'Brackets - prob'!C45-2*'Brackets - freq'!C45+2*C46)+C46-C46^2</f>
        <v/>
      </c>
      <c r="AH46" s="193">
        <f>'Brackets - prob'!D45*(1-'Brackets - prob'!D45-2*'Brackets - freq'!D45+2*D46)+D46-D46^2</f>
        <v/>
      </c>
      <c r="AI46" s="193">
        <f>'Brackets - prob'!E45*(1-'Brackets - prob'!E45-2*'Brackets - freq'!E45+2*E46)+E46-E46^2</f>
        <v/>
      </c>
      <c r="AJ46" s="193">
        <f>'Brackets - prob'!F45*(1-'Brackets - prob'!F45-2*'Brackets - freq'!F45+2*F46)+F46-F46^2</f>
        <v/>
      </c>
      <c r="AK46" s="193">
        <f>'Brackets - prob'!G45*(1-'Brackets - prob'!G45-2*'Brackets - freq'!G45+2*G46)+G46-G46^2</f>
        <v/>
      </c>
      <c r="AL46" s="194">
        <f>Bracket!E$2^2*(('Brackets - prob'!B45-H46)*(1+2*B46)-'Brackets - prob'!B45^2+H46^2-2*('Brackets - prob'!B45*'Brackets - freq'!B45-N46))</f>
        <v/>
      </c>
      <c r="AM46" s="194">
        <f>Bracket!F$2^2*(('Brackets - prob'!C45-I46)*(1+2*C46)-'Brackets - prob'!C45^2+I46^2-2*('Brackets - prob'!C45*'Brackets - freq'!C45-O46))</f>
        <v/>
      </c>
      <c r="AN46" s="194">
        <f>Bracket!G$2^2*(('Brackets - prob'!D45-J46)*(1+2*D46)-'Brackets - prob'!D45^2+J46^2-2*('Brackets - prob'!D45*'Brackets - freq'!D45-P46))</f>
        <v/>
      </c>
      <c r="AO46" s="194">
        <f>Bracket!H$2^2*(('Brackets - prob'!E45-K46)*(1+2*E46)-'Brackets - prob'!E45^2+K46^2-2*('Brackets - prob'!E45*'Brackets - freq'!E45-Q46))</f>
        <v/>
      </c>
      <c r="AP46" s="194">
        <f>Bracket!I$2^2*(('Brackets - prob'!F45-L46)*(1+2*F46)-'Brackets - prob'!F45^2+L46^2-2*('Brackets - prob'!F45*'Brackets - freq'!F45-R46))</f>
        <v/>
      </c>
      <c r="AQ46" s="194">
        <f>Bracket!J$2^2*(('Brackets - prob'!G45-M46)*(1+2*G46)-'Brackets - prob'!G45^2+M46^2-2*('Brackets - prob'!G45*'Brackets - freq'!G45-S46))</f>
        <v/>
      </c>
      <c r="AR46" s="192">
        <f>SUM($AL46:AL46)</f>
        <v/>
      </c>
      <c r="AS46" s="192">
        <f>SUM($AL46:AM46)</f>
        <v/>
      </c>
      <c r="AT46" s="192">
        <f>SUM($AL46:AN46)</f>
        <v/>
      </c>
      <c r="AU46" s="192">
        <f>SUM($AL46:AO46)</f>
        <v/>
      </c>
      <c r="AV46" s="192">
        <f>SUM($AL46:AP46)</f>
        <v/>
      </c>
      <c r="AW46" s="192">
        <f>SUM($AL46:AQ46)</f>
        <v/>
      </c>
      <c r="AX46" s="195">
        <f>IF(Z46=0,0,AR46/Z46)</f>
        <v/>
      </c>
      <c r="AY46" s="195">
        <f>IF(AA46=0,0,AS46/AA46)</f>
        <v/>
      </c>
      <c r="AZ46" s="195">
        <f>IF(AB46=0,0,AT46/AB46)</f>
        <v/>
      </c>
      <c r="BA46" s="195">
        <f>IF(AC46=0,0,AU46/AC46)</f>
        <v/>
      </c>
      <c r="BB46" s="195">
        <f>IF(AD46=0,0,AV46/AD46)</f>
        <v/>
      </c>
      <c r="BC46" s="195">
        <f>IF(AE46=0,0,AW46/AE46)</f>
        <v/>
      </c>
      <c r="BD46" s="196">
        <f>IF(OR(AX46=0,AX46&lt;=-1),1,0)</f>
        <v/>
      </c>
      <c r="BE46" s="196">
        <f>IF(OR(AY46=0,AY46&lt;=-1),1,0)</f>
        <v/>
      </c>
      <c r="BF46" s="196">
        <f>IF(OR(AZ46=0,AZ46&lt;=-1),1,0)</f>
        <v/>
      </c>
      <c r="BG46" s="196">
        <f>IF(OR(BA46=0,BA46&lt;=-1),1,0)</f>
        <v/>
      </c>
      <c r="BH46" s="196">
        <f>IF(OR(BB46=0,BB46&lt;=-1),1,0)</f>
        <v/>
      </c>
      <c r="BI46" s="196">
        <f>IF(OR(BC46=0,BC46&lt;=-1),1,0)</f>
        <v/>
      </c>
      <c r="BJ46" s="197">
        <f>IF(AND('Brackets - prob'!B45&gt;H46-0.5,'Brackets - freq'!B45/'Brackets - prob'!B45&lt;N46/H46^2),1,0)</f>
        <v/>
      </c>
      <c r="BK46" s="197">
        <f>IF(AND('Brackets - prob'!C45&gt;I46-0.5,'Brackets - freq'!C45/'Brackets - prob'!C45&lt;O46/I46^2),1,0)</f>
        <v/>
      </c>
      <c r="BL46" s="197">
        <f>IF(AND('Brackets - prob'!D45&gt;J46-0.5,'Brackets - freq'!D45/'Brackets - prob'!D45&lt;P46/J46^2),1,0)</f>
        <v/>
      </c>
      <c r="BM46" s="197">
        <f>IF(AND('Brackets - prob'!E45&gt;K46-0.5,'Brackets - freq'!E45/'Brackets - prob'!E45&lt;Q46/K46^2),1,0)</f>
        <v/>
      </c>
      <c r="BN46" s="197">
        <f>IF(AND('Brackets - prob'!F45&gt;L46-0.5,'Brackets - freq'!F45/'Brackets - prob'!F45&lt;R46/L46^2),1,0)</f>
        <v/>
      </c>
      <c r="BO46" s="197">
        <f>IF(AND('Brackets - prob'!G45&gt;M46-0.5,'Brackets - freq'!G45/'Brackets - prob'!G45&lt;S46/M46^2),1,0)</f>
        <v/>
      </c>
    </row>
    <row r="47">
      <c r="A47" s="41" t="inlineStr">
        <is>
          <t>Cincinnati</t>
        </is>
      </c>
      <c r="B47" s="51">
        <f>SUMPRODUCT('Brackets - prob'!B46:B47,'Brackets - freq'!B46:B47)</f>
        <v/>
      </c>
      <c r="C47" s="51">
        <f>SUMPRODUCT('Brackets - prob'!C46:C49,'Brackets - freq'!C46:C49)</f>
        <v/>
      </c>
      <c r="D47" s="51">
        <f>D46</f>
        <v/>
      </c>
      <c r="E47" s="51">
        <f>E46</f>
        <v/>
      </c>
      <c r="F47" s="51">
        <f>F46</f>
        <v/>
      </c>
      <c r="G47" s="51">
        <f>G46</f>
        <v/>
      </c>
      <c r="H47" s="52">
        <f>MAX('Brackets - prob'!B46:B47)</f>
        <v/>
      </c>
      <c r="I47" s="52">
        <f>MAX('Brackets - prob'!C46:C49)</f>
        <v/>
      </c>
      <c r="J47" s="52">
        <f>J46</f>
        <v/>
      </c>
      <c r="K47" s="52">
        <f>K46</f>
        <v/>
      </c>
      <c r="L47" s="52">
        <f>L46</f>
        <v/>
      </c>
      <c r="M47" s="52">
        <f>M46</f>
        <v/>
      </c>
      <c r="N47" s="53">
        <f>AVERAGEIF('Brackets - prob'!B46:B47,"="&amp;H47,'Brackets - freq'!B46:B47)*H47</f>
        <v/>
      </c>
      <c r="O47" s="53">
        <f>AVERAGEIF('Brackets - prob'!C46:C49,"="&amp;I47,'Brackets - freq'!C46:C49)*I47</f>
        <v/>
      </c>
      <c r="P47" s="53">
        <f>P46</f>
        <v/>
      </c>
      <c r="Q47" s="53">
        <f>Q46</f>
        <v/>
      </c>
      <c r="R47" s="53">
        <f>R46</f>
        <v/>
      </c>
      <c r="S47" s="53">
        <f>S46</f>
        <v/>
      </c>
      <c r="T47" s="191">
        <f>Bracket!E$2*('Brackets - prob'!B46-H47)</f>
        <v/>
      </c>
      <c r="U47" s="191">
        <f>Bracket!F$2*('Brackets - prob'!C46-I47)</f>
        <v/>
      </c>
      <c r="V47" s="191">
        <f>Bracket!G$2*('Brackets - prob'!D46-J47)</f>
        <v/>
      </c>
      <c r="W47" s="191">
        <f>Bracket!H$2*('Brackets - prob'!E46-K47)</f>
        <v/>
      </c>
      <c r="X47" s="191">
        <f>Bracket!I$2*('Brackets - prob'!F46-L47)</f>
        <v/>
      </c>
      <c r="Y47" s="191">
        <f>Bracket!J$2*('Brackets - prob'!G46-M47)</f>
        <v/>
      </c>
      <c r="Z47" s="192">
        <f>SUM(T47:$T47)</f>
        <v/>
      </c>
      <c r="AA47" s="192">
        <f>SUM($T47:U47)</f>
        <v/>
      </c>
      <c r="AB47" s="192">
        <f>SUM($T47:V47)</f>
        <v/>
      </c>
      <c r="AC47" s="192">
        <f>SUM($T47:W47)</f>
        <v/>
      </c>
      <c r="AD47" s="192">
        <f>SUM($T47:X47)</f>
        <v/>
      </c>
      <c r="AE47" s="192">
        <f>SUM($T47:Y47)</f>
        <v/>
      </c>
      <c r="AF47" s="193">
        <f>'Brackets - prob'!B46*(1-'Brackets - prob'!B46-2*'Brackets - freq'!B46+2*B47)+B47-B47^2</f>
        <v/>
      </c>
      <c r="AG47" s="193">
        <f>'Brackets - prob'!C46*(1-'Brackets - prob'!C46-2*'Brackets - freq'!C46+2*C47)+C47-C47^2</f>
        <v/>
      </c>
      <c r="AH47" s="193">
        <f>'Brackets - prob'!D46*(1-'Brackets - prob'!D46-2*'Brackets - freq'!D46+2*D47)+D47-D47^2</f>
        <v/>
      </c>
      <c r="AI47" s="193">
        <f>'Brackets - prob'!E46*(1-'Brackets - prob'!E46-2*'Brackets - freq'!E46+2*E47)+E47-E47^2</f>
        <v/>
      </c>
      <c r="AJ47" s="193">
        <f>'Brackets - prob'!F46*(1-'Brackets - prob'!F46-2*'Brackets - freq'!F46+2*F47)+F47-F47^2</f>
        <v/>
      </c>
      <c r="AK47" s="193">
        <f>'Brackets - prob'!G46*(1-'Brackets - prob'!G46-2*'Brackets - freq'!G46+2*G47)+G47-G47^2</f>
        <v/>
      </c>
      <c r="AL47" s="194">
        <f>Bracket!E$2^2*(('Brackets - prob'!B46-H47)*(1+2*B47)-'Brackets - prob'!B46^2+H47^2-2*('Brackets - prob'!B46*'Brackets - freq'!B46-N47))</f>
        <v/>
      </c>
      <c r="AM47" s="194">
        <f>Bracket!F$2^2*(('Brackets - prob'!C46-I47)*(1+2*C47)-'Brackets - prob'!C46^2+I47^2-2*('Brackets - prob'!C46*'Brackets - freq'!C46-O47))</f>
        <v/>
      </c>
      <c r="AN47" s="194">
        <f>Bracket!G$2^2*(('Brackets - prob'!D46-J47)*(1+2*D47)-'Brackets - prob'!D46^2+J47^2-2*('Brackets - prob'!D46*'Brackets - freq'!D46-P47))</f>
        <v/>
      </c>
      <c r="AO47" s="194">
        <f>Bracket!H$2^2*(('Brackets - prob'!E46-K47)*(1+2*E47)-'Brackets - prob'!E46^2+K47^2-2*('Brackets - prob'!E46*'Brackets - freq'!E46-Q47))</f>
        <v/>
      </c>
      <c r="AP47" s="194">
        <f>Bracket!I$2^2*(('Brackets - prob'!F46-L47)*(1+2*F47)-'Brackets - prob'!F46^2+L47^2-2*('Brackets - prob'!F46*'Brackets - freq'!F46-R47))</f>
        <v/>
      </c>
      <c r="AQ47" s="194">
        <f>Bracket!J$2^2*(('Brackets - prob'!G46-M47)*(1+2*G47)-'Brackets - prob'!G46^2+M47^2-2*('Brackets - prob'!G46*'Brackets - freq'!G46-S47))</f>
        <v/>
      </c>
      <c r="AR47" s="192">
        <f>SUM($AL47:AL47)</f>
        <v/>
      </c>
      <c r="AS47" s="192">
        <f>SUM($AL47:AM47)</f>
        <v/>
      </c>
      <c r="AT47" s="192">
        <f>SUM($AL47:AN47)</f>
        <v/>
      </c>
      <c r="AU47" s="192">
        <f>SUM($AL47:AO47)</f>
        <v/>
      </c>
      <c r="AV47" s="192">
        <f>SUM($AL47:AP47)</f>
        <v/>
      </c>
      <c r="AW47" s="192">
        <f>SUM($AL47:AQ47)</f>
        <v/>
      </c>
      <c r="AX47" s="195">
        <f>IF(Z47=0,0,AR47/Z47)</f>
        <v/>
      </c>
      <c r="AY47" s="195">
        <f>IF(AA47=0,0,AS47/AA47)</f>
        <v/>
      </c>
      <c r="AZ47" s="195">
        <f>IF(AB47=0,0,AT47/AB47)</f>
        <v/>
      </c>
      <c r="BA47" s="195">
        <f>IF(AC47=0,0,AU47/AC47)</f>
        <v/>
      </c>
      <c r="BB47" s="195">
        <f>IF(AD47=0,0,AV47/AD47)</f>
        <v/>
      </c>
      <c r="BC47" s="195">
        <f>IF(AE47=0,0,AW47/AE47)</f>
        <v/>
      </c>
      <c r="BD47" s="196">
        <f>IF(OR(AX47=0,AX47&lt;=-1),1,0)</f>
        <v/>
      </c>
      <c r="BE47" s="196">
        <f>IF(OR(AY47=0,AY47&lt;=-1),1,0)</f>
        <v/>
      </c>
      <c r="BF47" s="196">
        <f>IF(OR(AZ47=0,AZ47&lt;=-1),1,0)</f>
        <v/>
      </c>
      <c r="BG47" s="196">
        <f>IF(OR(BA47=0,BA47&lt;=-1),1,0)</f>
        <v/>
      </c>
      <c r="BH47" s="196">
        <f>IF(OR(BB47=0,BB47&lt;=-1),1,0)</f>
        <v/>
      </c>
      <c r="BI47" s="196">
        <f>IF(OR(BC47=0,BC47&lt;=-1),1,0)</f>
        <v/>
      </c>
      <c r="BJ47" s="197">
        <f>IF(AND('Brackets - prob'!B46&gt;H47-0.5,'Brackets - freq'!B46/'Brackets - prob'!B46&lt;N47/H47^2),1,0)</f>
        <v/>
      </c>
      <c r="BK47" s="197">
        <f>IF(AND('Brackets - prob'!C46&gt;I47-0.5,'Brackets - freq'!C46/'Brackets - prob'!C46&lt;O47/I47^2),1,0)</f>
        <v/>
      </c>
      <c r="BL47" s="197">
        <f>IF(AND('Brackets - prob'!D46&gt;J47-0.5,'Brackets - freq'!D46/'Brackets - prob'!D46&lt;P47/J47^2),1,0)</f>
        <v/>
      </c>
      <c r="BM47" s="197">
        <f>IF(AND('Brackets - prob'!E46&gt;K47-0.5,'Brackets - freq'!E46/'Brackets - prob'!E46&lt;Q47/K47^2),1,0)</f>
        <v/>
      </c>
      <c r="BN47" s="197">
        <f>IF(AND('Brackets - prob'!F46&gt;L47-0.5,'Brackets - freq'!F46/'Brackets - prob'!F46&lt;R47/L47^2),1,0)</f>
        <v/>
      </c>
      <c r="BO47" s="197">
        <f>IF(AND('Brackets - prob'!G46&gt;M47-0.5,'Brackets - freq'!G46/'Brackets - prob'!G46&lt;S47/M47^2),1,0)</f>
        <v/>
      </c>
    </row>
    <row r="48">
      <c r="A48" s="41" t="inlineStr">
        <is>
          <t>Iowa</t>
        </is>
      </c>
      <c r="B48" s="51">
        <f>B47</f>
        <v/>
      </c>
      <c r="C48" s="51">
        <f>C47</f>
        <v/>
      </c>
      <c r="D48" s="51">
        <f>D47</f>
        <v/>
      </c>
      <c r="E48" s="51">
        <f>E47</f>
        <v/>
      </c>
      <c r="F48" s="51">
        <f>F47</f>
        <v/>
      </c>
      <c r="G48" s="51">
        <f>G47</f>
        <v/>
      </c>
      <c r="H48" s="52">
        <f>H47</f>
        <v/>
      </c>
      <c r="I48" s="52">
        <f>I47</f>
        <v/>
      </c>
      <c r="J48" s="52">
        <f>J47</f>
        <v/>
      </c>
      <c r="K48" s="52">
        <f>K47</f>
        <v/>
      </c>
      <c r="L48" s="52">
        <f>L47</f>
        <v/>
      </c>
      <c r="M48" s="52">
        <f>M47</f>
        <v/>
      </c>
      <c r="N48" s="53">
        <f>N47</f>
        <v/>
      </c>
      <c r="O48" s="53">
        <f>O47</f>
        <v/>
      </c>
      <c r="P48" s="53">
        <f>P47</f>
        <v/>
      </c>
      <c r="Q48" s="53">
        <f>Q47</f>
        <v/>
      </c>
      <c r="R48" s="53">
        <f>R47</f>
        <v/>
      </c>
      <c r="S48" s="53">
        <f>S47</f>
        <v/>
      </c>
      <c r="T48" s="191">
        <f>Bracket!E$2*('Brackets - prob'!B47-H48)</f>
        <v/>
      </c>
      <c r="U48" s="191">
        <f>Bracket!F$2*('Brackets - prob'!C47-I48)</f>
        <v/>
      </c>
      <c r="V48" s="191">
        <f>Bracket!G$2*('Brackets - prob'!D47-J48)</f>
        <v/>
      </c>
      <c r="W48" s="191">
        <f>Bracket!H$2*('Brackets - prob'!E47-K48)</f>
        <v/>
      </c>
      <c r="X48" s="191">
        <f>Bracket!I$2*('Brackets - prob'!F47-L48)</f>
        <v/>
      </c>
      <c r="Y48" s="191">
        <f>Bracket!J$2*('Brackets - prob'!G47-M48)</f>
        <v/>
      </c>
      <c r="Z48" s="192">
        <f>SUM(T48:$T48)</f>
        <v/>
      </c>
      <c r="AA48" s="192">
        <f>SUM($T48:U48)</f>
        <v/>
      </c>
      <c r="AB48" s="192">
        <f>SUM($T48:V48)</f>
        <v/>
      </c>
      <c r="AC48" s="192">
        <f>SUM($T48:W48)</f>
        <v/>
      </c>
      <c r="AD48" s="192">
        <f>SUM($T48:X48)</f>
        <v/>
      </c>
      <c r="AE48" s="192">
        <f>SUM($T48:Y48)</f>
        <v/>
      </c>
      <c r="AF48" s="193">
        <f>'Brackets - prob'!B47*(1-'Brackets - prob'!B47-2*'Brackets - freq'!B47+2*B48)+B48-B48^2</f>
        <v/>
      </c>
      <c r="AG48" s="193">
        <f>'Brackets - prob'!C47*(1-'Brackets - prob'!C47-2*'Brackets - freq'!C47+2*C48)+C48-C48^2</f>
        <v/>
      </c>
      <c r="AH48" s="193">
        <f>'Brackets - prob'!D47*(1-'Brackets - prob'!D47-2*'Brackets - freq'!D47+2*D48)+D48-D48^2</f>
        <v/>
      </c>
      <c r="AI48" s="193">
        <f>'Brackets - prob'!E47*(1-'Brackets - prob'!E47-2*'Brackets - freq'!E47+2*E48)+E48-E48^2</f>
        <v/>
      </c>
      <c r="AJ48" s="193">
        <f>'Brackets - prob'!F47*(1-'Brackets - prob'!F47-2*'Brackets - freq'!F47+2*F48)+F48-F48^2</f>
        <v/>
      </c>
      <c r="AK48" s="193">
        <f>'Brackets - prob'!G47*(1-'Brackets - prob'!G47-2*'Brackets - freq'!G47+2*G48)+G48-G48^2</f>
        <v/>
      </c>
      <c r="AL48" s="194">
        <f>Bracket!E$2^2*(('Brackets - prob'!B47-H48)*(1+2*B48)-'Brackets - prob'!B47^2+H48^2-2*('Brackets - prob'!B47*'Brackets - freq'!B47-N48))</f>
        <v/>
      </c>
      <c r="AM48" s="194">
        <f>Bracket!F$2^2*(('Brackets - prob'!C47-I48)*(1+2*C48)-'Brackets - prob'!C47^2+I48^2-2*('Brackets - prob'!C47*'Brackets - freq'!C47-O48))</f>
        <v/>
      </c>
      <c r="AN48" s="194">
        <f>Bracket!G$2^2*(('Brackets - prob'!D47-J48)*(1+2*D48)-'Brackets - prob'!D47^2+J48^2-2*('Brackets - prob'!D47*'Brackets - freq'!D47-P48))</f>
        <v/>
      </c>
      <c r="AO48" s="194">
        <f>Bracket!H$2^2*(('Brackets - prob'!E47-K48)*(1+2*E48)-'Brackets - prob'!E47^2+K48^2-2*('Brackets - prob'!E47*'Brackets - freq'!E47-Q48))</f>
        <v/>
      </c>
      <c r="AP48" s="194">
        <f>Bracket!I$2^2*(('Brackets - prob'!F47-L48)*(1+2*F48)-'Brackets - prob'!F47^2+L48^2-2*('Brackets - prob'!F47*'Brackets - freq'!F47-R48))</f>
        <v/>
      </c>
      <c r="AQ48" s="194">
        <f>Bracket!J$2^2*(('Brackets - prob'!G47-M48)*(1+2*G48)-'Brackets - prob'!G47^2+M48^2-2*('Brackets - prob'!G47*'Brackets - freq'!G47-S48))</f>
        <v/>
      </c>
      <c r="AR48" s="192">
        <f>SUM($AL48:AL48)</f>
        <v/>
      </c>
      <c r="AS48" s="192">
        <f>SUM($AL48:AM48)</f>
        <v/>
      </c>
      <c r="AT48" s="192">
        <f>SUM($AL48:AN48)</f>
        <v/>
      </c>
      <c r="AU48" s="192">
        <f>SUM($AL48:AO48)</f>
        <v/>
      </c>
      <c r="AV48" s="192">
        <f>SUM($AL48:AP48)</f>
        <v/>
      </c>
      <c r="AW48" s="192">
        <f>SUM($AL48:AQ48)</f>
        <v/>
      </c>
      <c r="AX48" s="195">
        <f>IF(Z48=0,0,AR48/Z48)</f>
        <v/>
      </c>
      <c r="AY48" s="195">
        <f>IF(AA48=0,0,AS48/AA48)</f>
        <v/>
      </c>
      <c r="AZ48" s="195">
        <f>IF(AB48=0,0,AT48/AB48)</f>
        <v/>
      </c>
      <c r="BA48" s="195">
        <f>IF(AC48=0,0,AU48/AC48)</f>
        <v/>
      </c>
      <c r="BB48" s="195">
        <f>IF(AD48=0,0,AV48/AD48)</f>
        <v/>
      </c>
      <c r="BC48" s="195">
        <f>IF(AE48=0,0,AW48/AE48)</f>
        <v/>
      </c>
      <c r="BD48" s="196">
        <f>IF(OR(AX48=0,AX48&lt;=-1),1,0)</f>
        <v/>
      </c>
      <c r="BE48" s="196">
        <f>IF(OR(AY48=0,AY48&lt;=-1),1,0)</f>
        <v/>
      </c>
      <c r="BF48" s="196">
        <f>IF(OR(AZ48=0,AZ48&lt;=-1),1,0)</f>
        <v/>
      </c>
      <c r="BG48" s="196">
        <f>IF(OR(BA48=0,BA48&lt;=-1),1,0)</f>
        <v/>
      </c>
      <c r="BH48" s="196">
        <f>IF(OR(BB48=0,BB48&lt;=-1),1,0)</f>
        <v/>
      </c>
      <c r="BI48" s="196">
        <f>IF(OR(BC48=0,BC48&lt;=-1),1,0)</f>
        <v/>
      </c>
      <c r="BJ48" s="197">
        <f>IF(AND('Brackets - prob'!B47&gt;H48-0.5,'Brackets - freq'!B47/'Brackets - prob'!B47&lt;N48/H48^2),1,0)</f>
        <v/>
      </c>
      <c r="BK48" s="197">
        <f>IF(AND('Brackets - prob'!C47&gt;I48-0.5,'Brackets - freq'!C47/'Brackets - prob'!C47&lt;O48/I48^2),1,0)</f>
        <v/>
      </c>
      <c r="BL48" s="197">
        <f>IF(AND('Brackets - prob'!D47&gt;J48-0.5,'Brackets - freq'!D47/'Brackets - prob'!D47&lt;P48/J48^2),1,0)</f>
        <v/>
      </c>
      <c r="BM48" s="197">
        <f>IF(AND('Brackets - prob'!E47&gt;K48-0.5,'Brackets - freq'!E47/'Brackets - prob'!E47&lt;Q48/K48^2),1,0)</f>
        <v/>
      </c>
      <c r="BN48" s="197">
        <f>IF(AND('Brackets - prob'!F47&gt;L48-0.5,'Brackets - freq'!F47/'Brackets - prob'!F47&lt;R48/L48^2),1,0)</f>
        <v/>
      </c>
      <c r="BO48" s="197">
        <f>IF(AND('Brackets - prob'!G47&gt;M48-0.5,'Brackets - freq'!G47/'Brackets - prob'!G47&lt;S48/M48^2),1,0)</f>
        <v/>
      </c>
    </row>
    <row r="49">
      <c r="A49" s="41" t="inlineStr">
        <is>
          <t>Tennessee</t>
        </is>
      </c>
      <c r="B49" s="51">
        <f>SUMPRODUCT('Brackets - prob'!B48:B49,'Brackets - freq'!B48:B49)</f>
        <v/>
      </c>
      <c r="C49" s="51">
        <f>C48</f>
        <v/>
      </c>
      <c r="D49" s="51">
        <f>D48</f>
        <v/>
      </c>
      <c r="E49" s="51">
        <f>E48</f>
        <v/>
      </c>
      <c r="F49" s="51">
        <f>F48</f>
        <v/>
      </c>
      <c r="G49" s="51">
        <f>G48</f>
        <v/>
      </c>
      <c r="H49" s="52">
        <f>MAX('Brackets - prob'!B48:B49)</f>
        <v/>
      </c>
      <c r="I49" s="52">
        <f>I48</f>
        <v/>
      </c>
      <c r="J49" s="52">
        <f>J48</f>
        <v/>
      </c>
      <c r="K49" s="52">
        <f>K48</f>
        <v/>
      </c>
      <c r="L49" s="52">
        <f>L48</f>
        <v/>
      </c>
      <c r="M49" s="52">
        <f>M48</f>
        <v/>
      </c>
      <c r="N49" s="53">
        <f>AVERAGEIF('Brackets - prob'!B48:B49,"="&amp;H49,'Brackets - freq'!B48:B49)*H49</f>
        <v/>
      </c>
      <c r="O49" s="53">
        <f>O48</f>
        <v/>
      </c>
      <c r="P49" s="53">
        <f>P48</f>
        <v/>
      </c>
      <c r="Q49" s="53">
        <f>Q48</f>
        <v/>
      </c>
      <c r="R49" s="53">
        <f>R48</f>
        <v/>
      </c>
      <c r="S49" s="53">
        <f>S48</f>
        <v/>
      </c>
      <c r="T49" s="191">
        <f>Bracket!E$2*('Brackets - prob'!B48-H49)</f>
        <v/>
      </c>
      <c r="U49" s="191">
        <f>Bracket!F$2*('Brackets - prob'!C48-I49)</f>
        <v/>
      </c>
      <c r="V49" s="191">
        <f>Bracket!G$2*('Brackets - prob'!D48-J49)</f>
        <v/>
      </c>
      <c r="W49" s="191">
        <f>Bracket!H$2*('Brackets - prob'!E48-K49)</f>
        <v/>
      </c>
      <c r="X49" s="191">
        <f>Bracket!I$2*('Brackets - prob'!F48-L49)</f>
        <v/>
      </c>
      <c r="Y49" s="191">
        <f>Bracket!J$2*('Brackets - prob'!G48-M49)</f>
        <v/>
      </c>
      <c r="Z49" s="192">
        <f>SUM(T49:$T49)</f>
        <v/>
      </c>
      <c r="AA49" s="192">
        <f>SUM($T49:U49)</f>
        <v/>
      </c>
      <c r="AB49" s="192">
        <f>SUM($T49:V49)</f>
        <v/>
      </c>
      <c r="AC49" s="192">
        <f>SUM($T49:W49)</f>
        <v/>
      </c>
      <c r="AD49" s="192">
        <f>SUM($T49:X49)</f>
        <v/>
      </c>
      <c r="AE49" s="192">
        <f>SUM($T49:Y49)</f>
        <v/>
      </c>
      <c r="AF49" s="193">
        <f>'Brackets - prob'!B48*(1-'Brackets - prob'!B48-2*'Brackets - freq'!B48+2*B49)+B49-B49^2</f>
        <v/>
      </c>
      <c r="AG49" s="193">
        <f>'Brackets - prob'!C48*(1-'Brackets - prob'!C48-2*'Brackets - freq'!C48+2*C49)+C49-C49^2</f>
        <v/>
      </c>
      <c r="AH49" s="193">
        <f>'Brackets - prob'!D48*(1-'Brackets - prob'!D48-2*'Brackets - freq'!D48+2*D49)+D49-D49^2</f>
        <v/>
      </c>
      <c r="AI49" s="193">
        <f>'Brackets - prob'!E48*(1-'Brackets - prob'!E48-2*'Brackets - freq'!E48+2*E49)+E49-E49^2</f>
        <v/>
      </c>
      <c r="AJ49" s="193">
        <f>'Brackets - prob'!F48*(1-'Brackets - prob'!F48-2*'Brackets - freq'!F48+2*F49)+F49-F49^2</f>
        <v/>
      </c>
      <c r="AK49" s="193">
        <f>'Brackets - prob'!G48*(1-'Brackets - prob'!G48-2*'Brackets - freq'!G48+2*G49)+G49-G49^2</f>
        <v/>
      </c>
      <c r="AL49" s="194">
        <f>Bracket!E$2^2*(('Brackets - prob'!B48-H49)*(1+2*B49)-'Brackets - prob'!B48^2+H49^2-2*('Brackets - prob'!B48*'Brackets - freq'!B48-N49))</f>
        <v/>
      </c>
      <c r="AM49" s="194">
        <f>Bracket!F$2^2*(('Brackets - prob'!C48-I49)*(1+2*C49)-'Brackets - prob'!C48^2+I49^2-2*('Brackets - prob'!C48*'Brackets - freq'!C48-O49))</f>
        <v/>
      </c>
      <c r="AN49" s="194">
        <f>Bracket!G$2^2*(('Brackets - prob'!D48-J49)*(1+2*D49)-'Brackets - prob'!D48^2+J49^2-2*('Brackets - prob'!D48*'Brackets - freq'!D48-P49))</f>
        <v/>
      </c>
      <c r="AO49" s="194">
        <f>Bracket!H$2^2*(('Brackets - prob'!E48-K49)*(1+2*E49)-'Brackets - prob'!E48^2+K49^2-2*('Brackets - prob'!E48*'Brackets - freq'!E48-Q49))</f>
        <v/>
      </c>
      <c r="AP49" s="194">
        <f>Bracket!I$2^2*(('Brackets - prob'!F48-L49)*(1+2*F49)-'Brackets - prob'!F48^2+L49^2-2*('Brackets - prob'!F48*'Brackets - freq'!F48-R49))</f>
        <v/>
      </c>
      <c r="AQ49" s="194">
        <f>Bracket!J$2^2*(('Brackets - prob'!G48-M49)*(1+2*G49)-'Brackets - prob'!G48^2+M49^2-2*('Brackets - prob'!G48*'Brackets - freq'!G48-S49))</f>
        <v/>
      </c>
      <c r="AR49" s="192">
        <f>SUM($AL49:AL49)</f>
        <v/>
      </c>
      <c r="AS49" s="192">
        <f>SUM($AL49:AM49)</f>
        <v/>
      </c>
      <c r="AT49" s="192">
        <f>SUM($AL49:AN49)</f>
        <v/>
      </c>
      <c r="AU49" s="192">
        <f>SUM($AL49:AO49)</f>
        <v/>
      </c>
      <c r="AV49" s="192">
        <f>SUM($AL49:AP49)</f>
        <v/>
      </c>
      <c r="AW49" s="192">
        <f>SUM($AL49:AQ49)</f>
        <v/>
      </c>
      <c r="AX49" s="195">
        <f>IF(Z49=0,0,AR49/Z49)</f>
        <v/>
      </c>
      <c r="AY49" s="195">
        <f>IF(AA49=0,0,AS49/AA49)</f>
        <v/>
      </c>
      <c r="AZ49" s="195">
        <f>IF(AB49=0,0,AT49/AB49)</f>
        <v/>
      </c>
      <c r="BA49" s="195">
        <f>IF(AC49=0,0,AU49/AC49)</f>
        <v/>
      </c>
      <c r="BB49" s="195">
        <f>IF(AD49=0,0,AV49/AD49)</f>
        <v/>
      </c>
      <c r="BC49" s="195">
        <f>IF(AE49=0,0,AW49/AE49)</f>
        <v/>
      </c>
      <c r="BD49" s="196">
        <f>IF(OR(AX49=0,AX49&lt;=-1),1,0)</f>
        <v/>
      </c>
      <c r="BE49" s="196">
        <f>IF(OR(AY49=0,AY49&lt;=-1),1,0)</f>
        <v/>
      </c>
      <c r="BF49" s="196">
        <f>IF(OR(AZ49=0,AZ49&lt;=-1),1,0)</f>
        <v/>
      </c>
      <c r="BG49" s="196">
        <f>IF(OR(BA49=0,BA49&lt;=-1),1,0)</f>
        <v/>
      </c>
      <c r="BH49" s="196">
        <f>IF(OR(BB49=0,BB49&lt;=-1),1,0)</f>
        <v/>
      </c>
      <c r="BI49" s="196">
        <f>IF(OR(BC49=0,BC49&lt;=-1),1,0)</f>
        <v/>
      </c>
      <c r="BJ49" s="197">
        <f>IF(AND('Brackets - prob'!B48&gt;H49-0.5,'Brackets - freq'!B48/'Brackets - prob'!B48&lt;N49/H49^2),1,0)</f>
        <v/>
      </c>
      <c r="BK49" s="197">
        <f>IF(AND('Brackets - prob'!C48&gt;I49-0.5,'Brackets - freq'!C48/'Brackets - prob'!C48&lt;O49/I49^2),1,0)</f>
        <v/>
      </c>
      <c r="BL49" s="197">
        <f>IF(AND('Brackets - prob'!D48&gt;J49-0.5,'Brackets - freq'!D48/'Brackets - prob'!D48&lt;P49/J49^2),1,0)</f>
        <v/>
      </c>
      <c r="BM49" s="197">
        <f>IF(AND('Brackets - prob'!E48&gt;K49-0.5,'Brackets - freq'!E48/'Brackets - prob'!E48&lt;Q49/K49^2),1,0)</f>
        <v/>
      </c>
      <c r="BN49" s="197">
        <f>IF(AND('Brackets - prob'!F48&gt;L49-0.5,'Brackets - freq'!F48/'Brackets - prob'!F48&lt;R49/L49^2),1,0)</f>
        <v/>
      </c>
      <c r="BO49" s="197">
        <f>IF(AND('Brackets - prob'!G48&gt;M49-0.5,'Brackets - freq'!G48/'Brackets - prob'!G48&lt;S49/M49^2),1,0)</f>
        <v/>
      </c>
    </row>
    <row r="50">
      <c r="A50" s="41" t="inlineStr">
        <is>
          <t>Colgate</t>
        </is>
      </c>
      <c r="B50" s="51">
        <f>B49</f>
        <v/>
      </c>
      <c r="C50" s="51">
        <f>C49</f>
        <v/>
      </c>
      <c r="D50" s="51">
        <f>D49</f>
        <v/>
      </c>
      <c r="E50" s="51">
        <f>E49</f>
        <v/>
      </c>
      <c r="F50" s="51">
        <f>F49</f>
        <v/>
      </c>
      <c r="G50" s="51">
        <f>G49</f>
        <v/>
      </c>
      <c r="H50" s="52">
        <f>H49</f>
        <v/>
      </c>
      <c r="I50" s="52">
        <f>I49</f>
        <v/>
      </c>
      <c r="J50" s="52">
        <f>J49</f>
        <v/>
      </c>
      <c r="K50" s="52">
        <f>K49</f>
        <v/>
      </c>
      <c r="L50" s="52">
        <f>L49</f>
        <v/>
      </c>
      <c r="M50" s="52">
        <f>M49</f>
        <v/>
      </c>
      <c r="N50" s="53">
        <f>N49</f>
        <v/>
      </c>
      <c r="O50" s="53">
        <f>O49</f>
        <v/>
      </c>
      <c r="P50" s="53">
        <f>P49</f>
        <v/>
      </c>
      <c r="Q50" s="53">
        <f>Q49</f>
        <v/>
      </c>
      <c r="R50" s="53">
        <f>R49</f>
        <v/>
      </c>
      <c r="S50" s="53">
        <f>S49</f>
        <v/>
      </c>
      <c r="T50" s="191">
        <f>Bracket!E$2*('Brackets - prob'!B49-H50)</f>
        <v/>
      </c>
      <c r="U50" s="191">
        <f>Bracket!F$2*('Brackets - prob'!C49-I50)</f>
        <v/>
      </c>
      <c r="V50" s="191">
        <f>Bracket!G$2*('Brackets - prob'!D49-J50)</f>
        <v/>
      </c>
      <c r="W50" s="191">
        <f>Bracket!H$2*('Brackets - prob'!E49-K50)</f>
        <v/>
      </c>
      <c r="X50" s="191">
        <f>Bracket!I$2*('Brackets - prob'!F49-L50)</f>
        <v/>
      </c>
      <c r="Y50" s="191">
        <f>Bracket!J$2*('Brackets - prob'!G49-M50)</f>
        <v/>
      </c>
      <c r="Z50" s="192">
        <f>SUM(T50:$T50)</f>
        <v/>
      </c>
      <c r="AA50" s="192">
        <f>SUM($T50:U50)</f>
        <v/>
      </c>
      <c r="AB50" s="192">
        <f>SUM($T50:V50)</f>
        <v/>
      </c>
      <c r="AC50" s="192">
        <f>SUM($T50:W50)</f>
        <v/>
      </c>
      <c r="AD50" s="192">
        <f>SUM($T50:X50)</f>
        <v/>
      </c>
      <c r="AE50" s="192">
        <f>SUM($T50:Y50)</f>
        <v/>
      </c>
      <c r="AF50" s="193">
        <f>'Brackets - prob'!B49*(1-'Brackets - prob'!B49-2*'Brackets - freq'!B49+2*B50)+B50-B50^2</f>
        <v/>
      </c>
      <c r="AG50" s="193">
        <f>'Brackets - prob'!C49*(1-'Brackets - prob'!C49-2*'Brackets - freq'!C49+2*C50)+C50-C50^2</f>
        <v/>
      </c>
      <c r="AH50" s="193">
        <f>'Brackets - prob'!D49*(1-'Brackets - prob'!D49-2*'Brackets - freq'!D49+2*D50)+D50-D50^2</f>
        <v/>
      </c>
      <c r="AI50" s="193">
        <f>'Brackets - prob'!E49*(1-'Brackets - prob'!E49-2*'Brackets - freq'!E49+2*E50)+E50-E50^2</f>
        <v/>
      </c>
      <c r="AJ50" s="193">
        <f>'Brackets - prob'!F49*(1-'Brackets - prob'!F49-2*'Brackets - freq'!F49+2*F50)+F50-F50^2</f>
        <v/>
      </c>
      <c r="AK50" s="193">
        <f>'Brackets - prob'!G49*(1-'Brackets - prob'!G49-2*'Brackets - freq'!G49+2*G50)+G50-G50^2</f>
        <v/>
      </c>
      <c r="AL50" s="194">
        <f>Bracket!E$2^2*(('Brackets - prob'!B49-H50)*(1+2*B50)-'Brackets - prob'!B49^2+H50^2-2*('Brackets - prob'!B49*'Brackets - freq'!B49-N50))</f>
        <v/>
      </c>
      <c r="AM50" s="194">
        <f>Bracket!F$2^2*(('Brackets - prob'!C49-I50)*(1+2*C50)-'Brackets - prob'!C49^2+I50^2-2*('Brackets - prob'!C49*'Brackets - freq'!C49-O50))</f>
        <v/>
      </c>
      <c r="AN50" s="194">
        <f>Bracket!G$2^2*(('Brackets - prob'!D49-J50)*(1+2*D50)-'Brackets - prob'!D49^2+J50^2-2*('Brackets - prob'!D49*'Brackets - freq'!D49-P50))</f>
        <v/>
      </c>
      <c r="AO50" s="194">
        <f>Bracket!H$2^2*(('Brackets - prob'!E49-K50)*(1+2*E50)-'Brackets - prob'!E49^2+K50^2-2*('Brackets - prob'!E49*'Brackets - freq'!E49-Q50))</f>
        <v/>
      </c>
      <c r="AP50" s="194">
        <f>Bracket!I$2^2*(('Brackets - prob'!F49-L50)*(1+2*F50)-'Brackets - prob'!F49^2+L50^2-2*('Brackets - prob'!F49*'Brackets - freq'!F49-R50))</f>
        <v/>
      </c>
      <c r="AQ50" s="194">
        <f>Bracket!J$2^2*(('Brackets - prob'!G49-M50)*(1+2*G50)-'Brackets - prob'!G49^2+M50^2-2*('Brackets - prob'!G49*'Brackets - freq'!G49-S50))</f>
        <v/>
      </c>
      <c r="AR50" s="192">
        <f>SUM($AL50:AL50)</f>
        <v/>
      </c>
      <c r="AS50" s="192">
        <f>SUM($AL50:AM50)</f>
        <v/>
      </c>
      <c r="AT50" s="192">
        <f>SUM($AL50:AN50)</f>
        <v/>
      </c>
      <c r="AU50" s="192">
        <f>SUM($AL50:AO50)</f>
        <v/>
      </c>
      <c r="AV50" s="192">
        <f>SUM($AL50:AP50)</f>
        <v/>
      </c>
      <c r="AW50" s="192">
        <f>SUM($AL50:AQ50)</f>
        <v/>
      </c>
      <c r="AX50" s="195">
        <f>IF(Z50=0,0,AR50/Z50)</f>
        <v/>
      </c>
      <c r="AY50" s="195">
        <f>IF(AA50=0,0,AS50/AA50)</f>
        <v/>
      </c>
      <c r="AZ50" s="195">
        <f>IF(AB50=0,0,AT50/AB50)</f>
        <v/>
      </c>
      <c r="BA50" s="195">
        <f>IF(AC50=0,0,AU50/AC50)</f>
        <v/>
      </c>
      <c r="BB50" s="195">
        <f>IF(AD50=0,0,AV50/AD50)</f>
        <v/>
      </c>
      <c r="BC50" s="195">
        <f>IF(AE50=0,0,AW50/AE50)</f>
        <v/>
      </c>
      <c r="BD50" s="196">
        <f>IF(OR(AX50=0,AX50&lt;=-1),1,0)</f>
        <v/>
      </c>
      <c r="BE50" s="196">
        <f>IF(OR(AY50=0,AY50&lt;=-1),1,0)</f>
        <v/>
      </c>
      <c r="BF50" s="196">
        <f>IF(OR(AZ50=0,AZ50&lt;=-1),1,0)</f>
        <v/>
      </c>
      <c r="BG50" s="196">
        <f>IF(OR(BA50=0,BA50&lt;=-1),1,0)</f>
        <v/>
      </c>
      <c r="BH50" s="196">
        <f>IF(OR(BB50=0,BB50&lt;=-1),1,0)</f>
        <v/>
      </c>
      <c r="BI50" s="196">
        <f>IF(OR(BC50=0,BC50&lt;=-1),1,0)</f>
        <v/>
      </c>
      <c r="BJ50" s="197">
        <f>IF(AND('Brackets - prob'!B49&gt;H50-0.5,'Brackets - freq'!B49/'Brackets - prob'!B49&lt;N50/H50^2),1,0)</f>
        <v/>
      </c>
      <c r="BK50" s="197">
        <f>IF(AND('Brackets - prob'!C49&gt;I50-0.5,'Brackets - freq'!C49/'Brackets - prob'!C49&lt;O50/I50^2),1,0)</f>
        <v/>
      </c>
      <c r="BL50" s="197">
        <f>IF(AND('Brackets - prob'!D49&gt;J50-0.5,'Brackets - freq'!D49/'Brackets - prob'!D49&lt;P50/J50^2),1,0)</f>
        <v/>
      </c>
      <c r="BM50" s="197">
        <f>IF(AND('Brackets - prob'!E49&gt;K50-0.5,'Brackets - freq'!E49/'Brackets - prob'!E49&lt;Q50/K50^2),1,0)</f>
        <v/>
      </c>
      <c r="BN50" s="197">
        <f>IF(AND('Brackets - prob'!F49&gt;L50-0.5,'Brackets - freq'!F49/'Brackets - prob'!F49&lt;R50/L50^2),1,0)</f>
        <v/>
      </c>
      <c r="BO50" s="197">
        <f>IF(AND('Brackets - prob'!G49&gt;M50-0.5,'Brackets - freq'!G49/'Brackets - prob'!G49&lt;S50/M50^2),1,0)</f>
        <v/>
      </c>
    </row>
    <row r="51">
      <c r="A51" s="41" t="inlineStr">
        <is>
          <t>North Carolina</t>
        </is>
      </c>
      <c r="B51" s="51">
        <f>SUMPRODUCT('Brackets - prob'!B50:B51,'Brackets - freq'!B50:B51)</f>
        <v/>
      </c>
      <c r="C51" s="51">
        <f>SUMPRODUCT('Brackets - prob'!C50:C53,'Brackets - freq'!C50:C53)</f>
        <v/>
      </c>
      <c r="D51" s="51">
        <f>SUMPRODUCT('Brackets - prob'!D50:D57,'Brackets - freq'!D50:D57)</f>
        <v/>
      </c>
      <c r="E51" s="51">
        <f>SUMPRODUCT('Brackets - prob'!E50:E65,'Brackets - freq'!E50:E65)</f>
        <v/>
      </c>
      <c r="F51" s="51">
        <f>F50</f>
        <v/>
      </c>
      <c r="G51" s="51">
        <f>G50</f>
        <v/>
      </c>
      <c r="H51" s="52">
        <f>MAX('Brackets - prob'!B50:B51)</f>
        <v/>
      </c>
      <c r="I51" s="52">
        <f>MAX('Brackets - prob'!C50:C53)</f>
        <v/>
      </c>
      <c r="J51" s="52">
        <f>MAX('Brackets - prob'!D50:D57)</f>
        <v/>
      </c>
      <c r="K51" s="52">
        <f>MAX('Brackets - prob'!E50:E65)</f>
        <v/>
      </c>
      <c r="L51" s="52">
        <f>L50</f>
        <v/>
      </c>
      <c r="M51" s="52">
        <f>M50</f>
        <v/>
      </c>
      <c r="N51" s="53">
        <f>AVERAGEIF('Brackets - prob'!B50:B51,"="&amp;H51,'Brackets - freq'!B50:B51)*H51</f>
        <v/>
      </c>
      <c r="O51" s="53">
        <f>AVERAGEIF('Brackets - prob'!C50:C53,"="&amp;I51,'Brackets - freq'!C50:C53)*I51</f>
        <v/>
      </c>
      <c r="P51" s="53">
        <f>AVERAGEIF('Brackets - prob'!D50:D57,"="&amp;J51,'Brackets - freq'!D50:D57)*J51</f>
        <v/>
      </c>
      <c r="Q51" s="53">
        <f>AVERAGEIF('Brackets - prob'!E50:E65,"="&amp;K51,'Brackets - freq'!E50:E65)*K51</f>
        <v/>
      </c>
      <c r="R51" s="53">
        <f>R50</f>
        <v/>
      </c>
      <c r="S51" s="53">
        <f>S50</f>
        <v/>
      </c>
      <c r="T51" s="191">
        <f>Bracket!E$2*('Brackets - prob'!B50-H51)</f>
        <v/>
      </c>
      <c r="U51" s="191">
        <f>Bracket!F$2*('Brackets - prob'!C50-I51)</f>
        <v/>
      </c>
      <c r="V51" s="191">
        <f>Bracket!G$2*('Brackets - prob'!D50-J51)</f>
        <v/>
      </c>
      <c r="W51" s="191">
        <f>Bracket!H$2*('Brackets - prob'!E50-K51)</f>
        <v/>
      </c>
      <c r="X51" s="191">
        <f>Bracket!I$2*('Brackets - prob'!F50-L51)</f>
        <v/>
      </c>
      <c r="Y51" s="191">
        <f>Bracket!J$2*('Brackets - prob'!G50-M51)</f>
        <v/>
      </c>
      <c r="Z51" s="192">
        <f>SUM(T51:$T51)</f>
        <v/>
      </c>
      <c r="AA51" s="192">
        <f>SUM($T51:U51)</f>
        <v/>
      </c>
      <c r="AB51" s="192">
        <f>SUM($T51:V51)</f>
        <v/>
      </c>
      <c r="AC51" s="192">
        <f>SUM($T51:W51)</f>
        <v/>
      </c>
      <c r="AD51" s="192">
        <f>SUM($T51:X51)</f>
        <v/>
      </c>
      <c r="AE51" s="192">
        <f>SUM($T51:Y51)</f>
        <v/>
      </c>
      <c r="AF51" s="193">
        <f>'Brackets - prob'!B50*(1-'Brackets - prob'!B50-2*'Brackets - freq'!B50+2*B51)+B51-B51^2</f>
        <v/>
      </c>
      <c r="AG51" s="193">
        <f>'Brackets - prob'!C50*(1-'Brackets - prob'!C50-2*'Brackets - freq'!C50+2*C51)+C51-C51^2</f>
        <v/>
      </c>
      <c r="AH51" s="193">
        <f>'Brackets - prob'!D50*(1-'Brackets - prob'!D50-2*'Brackets - freq'!D50+2*D51)+D51-D51^2</f>
        <v/>
      </c>
      <c r="AI51" s="193">
        <f>'Brackets - prob'!E50*(1-'Brackets - prob'!E50-2*'Brackets - freq'!E50+2*E51)+E51-E51^2</f>
        <v/>
      </c>
      <c r="AJ51" s="193">
        <f>'Brackets - prob'!F50*(1-'Brackets - prob'!F50-2*'Brackets - freq'!F50+2*F51)+F51-F51^2</f>
        <v/>
      </c>
      <c r="AK51" s="193">
        <f>'Brackets - prob'!G50*(1-'Brackets - prob'!G50-2*'Brackets - freq'!G50+2*G51)+G51-G51^2</f>
        <v/>
      </c>
      <c r="AL51" s="194">
        <f>Bracket!E$2^2*(('Brackets - prob'!B50-H51)*(1+2*B51)-'Brackets - prob'!B50^2+H51^2-2*('Brackets - prob'!B50*'Brackets - freq'!B50-N51))</f>
        <v/>
      </c>
      <c r="AM51" s="194">
        <f>Bracket!F$2^2*(('Brackets - prob'!C50-I51)*(1+2*C51)-'Brackets - prob'!C50^2+I51^2-2*('Brackets - prob'!C50*'Brackets - freq'!C50-O51))</f>
        <v/>
      </c>
      <c r="AN51" s="194">
        <f>Bracket!G$2^2*(('Brackets - prob'!D50-J51)*(1+2*D51)-'Brackets - prob'!D50^2+J51^2-2*('Brackets - prob'!D50*'Brackets - freq'!D50-P51))</f>
        <v/>
      </c>
      <c r="AO51" s="194">
        <f>Bracket!H$2^2*(('Brackets - prob'!E50-K51)*(1+2*E51)-'Brackets - prob'!E50^2+K51^2-2*('Brackets - prob'!E50*'Brackets - freq'!E50-Q51))</f>
        <v/>
      </c>
      <c r="AP51" s="194">
        <f>Bracket!I$2^2*(('Brackets - prob'!F50-L51)*(1+2*F51)-'Brackets - prob'!F50^2+L51^2-2*('Brackets - prob'!F50*'Brackets - freq'!F50-R51))</f>
        <v/>
      </c>
      <c r="AQ51" s="194">
        <f>Bracket!J$2^2*(('Brackets - prob'!G50-M51)*(1+2*G51)-'Brackets - prob'!G50^2+M51^2-2*('Brackets - prob'!G50*'Brackets - freq'!G50-S51))</f>
        <v/>
      </c>
      <c r="AR51" s="192">
        <f>SUM($AL51:AL51)</f>
        <v/>
      </c>
      <c r="AS51" s="192">
        <f>SUM($AL51:AM51)</f>
        <v/>
      </c>
      <c r="AT51" s="192">
        <f>SUM($AL51:AN51)</f>
        <v/>
      </c>
      <c r="AU51" s="192">
        <f>SUM($AL51:AO51)</f>
        <v/>
      </c>
      <c r="AV51" s="192">
        <f>SUM($AL51:AP51)</f>
        <v/>
      </c>
      <c r="AW51" s="192">
        <f>SUM($AL51:AQ51)</f>
        <v/>
      </c>
      <c r="AX51" s="195">
        <f>IF(Z51=0,0,AR51/Z51)</f>
        <v/>
      </c>
      <c r="AY51" s="195">
        <f>IF(AA51=0,0,AS51/AA51)</f>
        <v/>
      </c>
      <c r="AZ51" s="195">
        <f>IF(AB51=0,0,AT51/AB51)</f>
        <v/>
      </c>
      <c r="BA51" s="195">
        <f>IF(AC51=0,0,AU51/AC51)</f>
        <v/>
      </c>
      <c r="BB51" s="195">
        <f>IF(AD51=0,0,AV51/AD51)</f>
        <v/>
      </c>
      <c r="BC51" s="195">
        <f>IF(AE51=0,0,AW51/AE51)</f>
        <v/>
      </c>
      <c r="BD51" s="196">
        <f>IF(OR(AX51=0,AX51&lt;=-1),1,0)</f>
        <v/>
      </c>
      <c r="BE51" s="196">
        <f>IF(OR(AY51=0,AY51&lt;=-1),1,0)</f>
        <v/>
      </c>
      <c r="BF51" s="196">
        <f>IF(OR(AZ51=0,AZ51&lt;=-1),1,0)</f>
        <v/>
      </c>
      <c r="BG51" s="196">
        <f>IF(OR(BA51=0,BA51&lt;=-1),1,0)</f>
        <v/>
      </c>
      <c r="BH51" s="196">
        <f>IF(OR(BB51=0,BB51&lt;=-1),1,0)</f>
        <v/>
      </c>
      <c r="BI51" s="196">
        <f>IF(OR(BC51=0,BC51&lt;=-1),1,0)</f>
        <v/>
      </c>
      <c r="BJ51" s="197">
        <f>IF(AND('Brackets - prob'!B50&gt;H51-0.5,'Brackets - freq'!B50/'Brackets - prob'!B50&lt;N51/H51^2),1,0)</f>
        <v/>
      </c>
      <c r="BK51" s="197">
        <f>IF(AND('Brackets - prob'!C50&gt;I51-0.5,'Brackets - freq'!C50/'Brackets - prob'!C50&lt;O51/I51^2),1,0)</f>
        <v/>
      </c>
      <c r="BL51" s="197">
        <f>IF(AND('Brackets - prob'!D50&gt;J51-0.5,'Brackets - freq'!D50/'Brackets - prob'!D50&lt;P51/J51^2),1,0)</f>
        <v/>
      </c>
      <c r="BM51" s="197">
        <f>IF(AND('Brackets - prob'!E50&gt;K51-0.5,'Brackets - freq'!E50/'Brackets - prob'!E50&lt;Q51/K51^2),1,0)</f>
        <v/>
      </c>
      <c r="BN51" s="197">
        <f>IF(AND('Brackets - prob'!F50&gt;L51-0.5,'Brackets - freq'!F50/'Brackets - prob'!F50&lt;R51/L51^2),1,0)</f>
        <v/>
      </c>
      <c r="BO51" s="197">
        <f>IF(AND('Brackets - prob'!G50&gt;M51-0.5,'Brackets - freq'!G50/'Brackets - prob'!G50&lt;S51/M51^2),1,0)</f>
        <v/>
      </c>
    </row>
    <row r="52">
      <c r="A52" s="41" t="inlineStr">
        <is>
          <t>Iona</t>
        </is>
      </c>
      <c r="B52" s="51">
        <f>B51</f>
        <v/>
      </c>
      <c r="C52" s="51">
        <f>C51</f>
        <v/>
      </c>
      <c r="D52" s="51">
        <f>D51</f>
        <v/>
      </c>
      <c r="E52" s="51">
        <f>E51</f>
        <v/>
      </c>
      <c r="F52" s="51">
        <f>F51</f>
        <v/>
      </c>
      <c r="G52" s="51">
        <f>G51</f>
        <v/>
      </c>
      <c r="H52" s="52">
        <f>H51</f>
        <v/>
      </c>
      <c r="I52" s="52">
        <f>I51</f>
        <v/>
      </c>
      <c r="J52" s="52">
        <f>J51</f>
        <v/>
      </c>
      <c r="K52" s="52">
        <f>K51</f>
        <v/>
      </c>
      <c r="L52" s="52">
        <f>L51</f>
        <v/>
      </c>
      <c r="M52" s="52">
        <f>M51</f>
        <v/>
      </c>
      <c r="N52" s="53">
        <f>N51</f>
        <v/>
      </c>
      <c r="O52" s="53">
        <f>O51</f>
        <v/>
      </c>
      <c r="P52" s="53">
        <f>P51</f>
        <v/>
      </c>
      <c r="Q52" s="53">
        <f>Q51</f>
        <v/>
      </c>
      <c r="R52" s="53">
        <f>R51</f>
        <v/>
      </c>
      <c r="S52" s="53">
        <f>S51</f>
        <v/>
      </c>
      <c r="T52" s="191">
        <f>Bracket!E$2*('Brackets - prob'!B51-H52)</f>
        <v/>
      </c>
      <c r="U52" s="191">
        <f>Bracket!F$2*('Brackets - prob'!C51-I52)</f>
        <v/>
      </c>
      <c r="V52" s="191">
        <f>Bracket!G$2*('Brackets - prob'!D51-J52)</f>
        <v/>
      </c>
      <c r="W52" s="191">
        <f>Bracket!H$2*('Brackets - prob'!E51-K52)</f>
        <v/>
      </c>
      <c r="X52" s="191">
        <f>Bracket!I$2*('Brackets - prob'!F51-L52)</f>
        <v/>
      </c>
      <c r="Y52" s="191">
        <f>Bracket!J$2*('Brackets - prob'!G51-M52)</f>
        <v/>
      </c>
      <c r="Z52" s="192">
        <f>SUM(T52:$T52)</f>
        <v/>
      </c>
      <c r="AA52" s="192">
        <f>SUM($T52:U52)</f>
        <v/>
      </c>
      <c r="AB52" s="192">
        <f>SUM($T52:V52)</f>
        <v/>
      </c>
      <c r="AC52" s="192">
        <f>SUM($T52:W52)</f>
        <v/>
      </c>
      <c r="AD52" s="192">
        <f>SUM($T52:X52)</f>
        <v/>
      </c>
      <c r="AE52" s="192">
        <f>SUM($T52:Y52)</f>
        <v/>
      </c>
      <c r="AF52" s="193">
        <f>'Brackets - prob'!B51*(1-'Brackets - prob'!B51-2*'Brackets - freq'!B51+2*B52)+B52-B52^2</f>
        <v/>
      </c>
      <c r="AG52" s="193">
        <f>'Brackets - prob'!C51*(1-'Brackets - prob'!C51-2*'Brackets - freq'!C51+2*C52)+C52-C52^2</f>
        <v/>
      </c>
      <c r="AH52" s="193">
        <f>'Brackets - prob'!D51*(1-'Brackets - prob'!D51-2*'Brackets - freq'!D51+2*D52)+D52-D52^2</f>
        <v/>
      </c>
      <c r="AI52" s="193">
        <f>'Brackets - prob'!E51*(1-'Brackets - prob'!E51-2*'Brackets - freq'!E51+2*E52)+E52-E52^2</f>
        <v/>
      </c>
      <c r="AJ52" s="193">
        <f>'Brackets - prob'!F51*(1-'Brackets - prob'!F51-2*'Brackets - freq'!F51+2*F52)+F52-F52^2</f>
        <v/>
      </c>
      <c r="AK52" s="193">
        <f>'Brackets - prob'!G51*(1-'Brackets - prob'!G51-2*'Brackets - freq'!G51+2*G52)+G52-G52^2</f>
        <v/>
      </c>
      <c r="AL52" s="194">
        <f>Bracket!E$2^2*(('Brackets - prob'!B51-H52)*(1+2*B52)-'Brackets - prob'!B51^2+H52^2-2*('Brackets - prob'!B51*'Brackets - freq'!B51-N52))</f>
        <v/>
      </c>
      <c r="AM52" s="194">
        <f>Bracket!F$2^2*(('Brackets - prob'!C51-I52)*(1+2*C52)-'Brackets - prob'!C51^2+I52^2-2*('Brackets - prob'!C51*'Brackets - freq'!C51-O52))</f>
        <v/>
      </c>
      <c r="AN52" s="194">
        <f>Bracket!G$2^2*(('Brackets - prob'!D51-J52)*(1+2*D52)-'Brackets - prob'!D51^2+J52^2-2*('Brackets - prob'!D51*'Brackets - freq'!D51-P52))</f>
        <v/>
      </c>
      <c r="AO52" s="194">
        <f>Bracket!H$2^2*(('Brackets - prob'!E51-K52)*(1+2*E52)-'Brackets - prob'!E51^2+K52^2-2*('Brackets - prob'!E51*'Brackets - freq'!E51-Q52))</f>
        <v/>
      </c>
      <c r="AP52" s="194">
        <f>Bracket!I$2^2*(('Brackets - prob'!F51-L52)*(1+2*F52)-'Brackets - prob'!F51^2+L52^2-2*('Brackets - prob'!F51*'Brackets - freq'!F51-R52))</f>
        <v/>
      </c>
      <c r="AQ52" s="194">
        <f>Bracket!J$2^2*(('Brackets - prob'!G51-M52)*(1+2*G52)-'Brackets - prob'!G51^2+M52^2-2*('Brackets - prob'!G51*'Brackets - freq'!G51-S52))</f>
        <v/>
      </c>
      <c r="AR52" s="192">
        <f>SUM($AL52:AL52)</f>
        <v/>
      </c>
      <c r="AS52" s="192">
        <f>SUM($AL52:AM52)</f>
        <v/>
      </c>
      <c r="AT52" s="192">
        <f>SUM($AL52:AN52)</f>
        <v/>
      </c>
      <c r="AU52" s="192">
        <f>SUM($AL52:AO52)</f>
        <v/>
      </c>
      <c r="AV52" s="192">
        <f>SUM($AL52:AP52)</f>
        <v/>
      </c>
      <c r="AW52" s="192">
        <f>SUM($AL52:AQ52)</f>
        <v/>
      </c>
      <c r="AX52" s="195">
        <f>IF(Z52=0,0,AR52/Z52)</f>
        <v/>
      </c>
      <c r="AY52" s="195">
        <f>IF(AA52=0,0,AS52/AA52)</f>
        <v/>
      </c>
      <c r="AZ52" s="195">
        <f>IF(AB52=0,0,AT52/AB52)</f>
        <v/>
      </c>
      <c r="BA52" s="195">
        <f>IF(AC52=0,0,AU52/AC52)</f>
        <v/>
      </c>
      <c r="BB52" s="195">
        <f>IF(AD52=0,0,AV52/AD52)</f>
        <v/>
      </c>
      <c r="BC52" s="195">
        <f>IF(AE52=0,0,AW52/AE52)</f>
        <v/>
      </c>
      <c r="BD52" s="196">
        <f>IF(OR(AX52=0,AX52&lt;=-1),1,0)</f>
        <v/>
      </c>
      <c r="BE52" s="196">
        <f>IF(OR(AY52=0,AY52&lt;=-1),1,0)</f>
        <v/>
      </c>
      <c r="BF52" s="196">
        <f>IF(OR(AZ52=0,AZ52&lt;=-1),1,0)</f>
        <v/>
      </c>
      <c r="BG52" s="196">
        <f>IF(OR(BA52=0,BA52&lt;=-1),1,0)</f>
        <v/>
      </c>
      <c r="BH52" s="196">
        <f>IF(OR(BB52=0,BB52&lt;=-1),1,0)</f>
        <v/>
      </c>
      <c r="BI52" s="196">
        <f>IF(OR(BC52=0,BC52&lt;=-1),1,0)</f>
        <v/>
      </c>
      <c r="BJ52" s="197">
        <f>IF(AND('Brackets - prob'!B51&gt;H52-0.5,'Brackets - freq'!B51/'Brackets - prob'!B51&lt;N52/H52^2),1,0)</f>
        <v/>
      </c>
      <c r="BK52" s="197">
        <f>IF(AND('Brackets - prob'!C51&gt;I52-0.5,'Brackets - freq'!C51/'Brackets - prob'!C51&lt;O52/I52^2),1,0)</f>
        <v/>
      </c>
      <c r="BL52" s="197">
        <f>IF(AND('Brackets - prob'!D51&gt;J52-0.5,'Brackets - freq'!D51/'Brackets - prob'!D51&lt;P52/J52^2),1,0)</f>
        <v/>
      </c>
      <c r="BM52" s="197">
        <f>IF(AND('Brackets - prob'!E51&gt;K52-0.5,'Brackets - freq'!E51/'Brackets - prob'!E51&lt;Q52/K52^2),1,0)</f>
        <v/>
      </c>
      <c r="BN52" s="197">
        <f>IF(AND('Brackets - prob'!F51&gt;L52-0.5,'Brackets - freq'!F51/'Brackets - prob'!F51&lt;R52/L52^2),1,0)</f>
        <v/>
      </c>
      <c r="BO52" s="197">
        <f>IF(AND('Brackets - prob'!G51&gt;M52-0.5,'Brackets - freq'!G51/'Brackets - prob'!G51&lt;S52/M52^2),1,0)</f>
        <v/>
      </c>
    </row>
    <row r="53">
      <c r="A53" s="41" t="inlineStr">
        <is>
          <t>Utah State</t>
        </is>
      </c>
      <c r="B53" s="51">
        <f>SUMPRODUCT('Brackets - prob'!B52:B53,'Brackets - freq'!B52:B53)</f>
        <v/>
      </c>
      <c r="C53" s="51">
        <f>C52</f>
        <v/>
      </c>
      <c r="D53" s="51">
        <f>D52</f>
        <v/>
      </c>
      <c r="E53" s="51">
        <f>E52</f>
        <v/>
      </c>
      <c r="F53" s="51">
        <f>F52</f>
        <v/>
      </c>
      <c r="G53" s="51">
        <f>G52</f>
        <v/>
      </c>
      <c r="H53" s="52">
        <f>MAX('Brackets - prob'!B52:B53)</f>
        <v/>
      </c>
      <c r="I53" s="52">
        <f>I52</f>
        <v/>
      </c>
      <c r="J53" s="52">
        <f>J52</f>
        <v/>
      </c>
      <c r="K53" s="52">
        <f>K52</f>
        <v/>
      </c>
      <c r="L53" s="52">
        <f>L52</f>
        <v/>
      </c>
      <c r="M53" s="52">
        <f>M52</f>
        <v/>
      </c>
      <c r="N53" s="53">
        <f>AVERAGEIF('Brackets - prob'!B52:B53,"="&amp;H53,'Brackets - freq'!B52:B53)*H53</f>
        <v/>
      </c>
      <c r="O53" s="53">
        <f>O52</f>
        <v/>
      </c>
      <c r="P53" s="53">
        <f>P52</f>
        <v/>
      </c>
      <c r="Q53" s="53">
        <f>Q52</f>
        <v/>
      </c>
      <c r="R53" s="53">
        <f>R52</f>
        <v/>
      </c>
      <c r="S53" s="53">
        <f>S52</f>
        <v/>
      </c>
      <c r="T53" s="191">
        <f>Bracket!E$2*('Brackets - prob'!B52-H53)</f>
        <v/>
      </c>
      <c r="U53" s="191">
        <f>Bracket!F$2*('Brackets - prob'!C52-I53)</f>
        <v/>
      </c>
      <c r="V53" s="191">
        <f>Bracket!G$2*('Brackets - prob'!D52-J53)</f>
        <v/>
      </c>
      <c r="W53" s="191">
        <f>Bracket!H$2*('Brackets - prob'!E52-K53)</f>
        <v/>
      </c>
      <c r="X53" s="191">
        <f>Bracket!I$2*('Brackets - prob'!F52-L53)</f>
        <v/>
      </c>
      <c r="Y53" s="191">
        <f>Bracket!J$2*('Brackets - prob'!G52-M53)</f>
        <v/>
      </c>
      <c r="Z53" s="192">
        <f>SUM(T53:$T53)</f>
        <v/>
      </c>
      <c r="AA53" s="192">
        <f>SUM($T53:U53)</f>
        <v/>
      </c>
      <c r="AB53" s="192">
        <f>SUM($T53:V53)</f>
        <v/>
      </c>
      <c r="AC53" s="192">
        <f>SUM($T53:W53)</f>
        <v/>
      </c>
      <c r="AD53" s="192">
        <f>SUM($T53:X53)</f>
        <v/>
      </c>
      <c r="AE53" s="192">
        <f>SUM($T53:Y53)</f>
        <v/>
      </c>
      <c r="AF53" s="193">
        <f>'Brackets - prob'!B52*(1-'Brackets - prob'!B52-2*'Brackets - freq'!B52+2*B53)+B53-B53^2</f>
        <v/>
      </c>
      <c r="AG53" s="193">
        <f>'Brackets - prob'!C52*(1-'Brackets - prob'!C52-2*'Brackets - freq'!C52+2*C53)+C53-C53^2</f>
        <v/>
      </c>
      <c r="AH53" s="193">
        <f>'Brackets - prob'!D52*(1-'Brackets - prob'!D52-2*'Brackets - freq'!D52+2*D53)+D53-D53^2</f>
        <v/>
      </c>
      <c r="AI53" s="193">
        <f>'Brackets - prob'!E52*(1-'Brackets - prob'!E52-2*'Brackets - freq'!E52+2*E53)+E53-E53^2</f>
        <v/>
      </c>
      <c r="AJ53" s="193">
        <f>'Brackets - prob'!F52*(1-'Brackets - prob'!F52-2*'Brackets - freq'!F52+2*F53)+F53-F53^2</f>
        <v/>
      </c>
      <c r="AK53" s="193">
        <f>'Brackets - prob'!G52*(1-'Brackets - prob'!G52-2*'Brackets - freq'!G52+2*G53)+G53-G53^2</f>
        <v/>
      </c>
      <c r="AL53" s="194">
        <f>Bracket!E$2^2*(('Brackets - prob'!B52-H53)*(1+2*B53)-'Brackets - prob'!B52^2+H53^2-2*('Brackets - prob'!B52*'Brackets - freq'!B52-N53))</f>
        <v/>
      </c>
      <c r="AM53" s="194">
        <f>Bracket!F$2^2*(('Brackets - prob'!C52-I53)*(1+2*C53)-'Brackets - prob'!C52^2+I53^2-2*('Brackets - prob'!C52*'Brackets - freq'!C52-O53))</f>
        <v/>
      </c>
      <c r="AN53" s="194">
        <f>Bracket!G$2^2*(('Brackets - prob'!D52-J53)*(1+2*D53)-'Brackets - prob'!D52^2+J53^2-2*('Brackets - prob'!D52*'Brackets - freq'!D52-P53))</f>
        <v/>
      </c>
      <c r="AO53" s="194">
        <f>Bracket!H$2^2*(('Brackets - prob'!E52-K53)*(1+2*E53)-'Brackets - prob'!E52^2+K53^2-2*('Brackets - prob'!E52*'Brackets - freq'!E52-Q53))</f>
        <v/>
      </c>
      <c r="AP53" s="194">
        <f>Bracket!I$2^2*(('Brackets - prob'!F52-L53)*(1+2*F53)-'Brackets - prob'!F52^2+L53^2-2*('Brackets - prob'!F52*'Brackets - freq'!F52-R53))</f>
        <v/>
      </c>
      <c r="AQ53" s="194">
        <f>Bracket!J$2^2*(('Brackets - prob'!G52-M53)*(1+2*G53)-'Brackets - prob'!G52^2+M53^2-2*('Brackets - prob'!G52*'Brackets - freq'!G52-S53))</f>
        <v/>
      </c>
      <c r="AR53" s="192">
        <f>SUM($AL53:AL53)</f>
        <v/>
      </c>
      <c r="AS53" s="192">
        <f>SUM($AL53:AM53)</f>
        <v/>
      </c>
      <c r="AT53" s="192">
        <f>SUM($AL53:AN53)</f>
        <v/>
      </c>
      <c r="AU53" s="192">
        <f>SUM($AL53:AO53)</f>
        <v/>
      </c>
      <c r="AV53" s="192">
        <f>SUM($AL53:AP53)</f>
        <v/>
      </c>
      <c r="AW53" s="192">
        <f>SUM($AL53:AQ53)</f>
        <v/>
      </c>
      <c r="AX53" s="195">
        <f>IF(Z53=0,0,AR53/Z53)</f>
        <v/>
      </c>
      <c r="AY53" s="195">
        <f>IF(AA53=0,0,AS53/AA53)</f>
        <v/>
      </c>
      <c r="AZ53" s="195">
        <f>IF(AB53=0,0,AT53/AB53)</f>
        <v/>
      </c>
      <c r="BA53" s="195">
        <f>IF(AC53=0,0,AU53/AC53)</f>
        <v/>
      </c>
      <c r="BB53" s="195">
        <f>IF(AD53=0,0,AV53/AD53)</f>
        <v/>
      </c>
      <c r="BC53" s="195">
        <f>IF(AE53=0,0,AW53/AE53)</f>
        <v/>
      </c>
      <c r="BD53" s="196">
        <f>IF(OR(AX53=0,AX53&lt;=-1),1,0)</f>
        <v/>
      </c>
      <c r="BE53" s="196">
        <f>IF(OR(AY53=0,AY53&lt;=-1),1,0)</f>
        <v/>
      </c>
      <c r="BF53" s="196">
        <f>IF(OR(AZ53=0,AZ53&lt;=-1),1,0)</f>
        <v/>
      </c>
      <c r="BG53" s="196">
        <f>IF(OR(BA53=0,BA53&lt;=-1),1,0)</f>
        <v/>
      </c>
      <c r="BH53" s="196">
        <f>IF(OR(BB53=0,BB53&lt;=-1),1,0)</f>
        <v/>
      </c>
      <c r="BI53" s="196">
        <f>IF(OR(BC53=0,BC53&lt;=-1),1,0)</f>
        <v/>
      </c>
      <c r="BJ53" s="197">
        <f>IF(AND('Brackets - prob'!B52&gt;H53-0.5,'Brackets - freq'!B52/'Brackets - prob'!B52&lt;N53/H53^2),1,0)</f>
        <v/>
      </c>
      <c r="BK53" s="197">
        <f>IF(AND('Brackets - prob'!C52&gt;I53-0.5,'Brackets - freq'!C52/'Brackets - prob'!C52&lt;O53/I53^2),1,0)</f>
        <v/>
      </c>
      <c r="BL53" s="197">
        <f>IF(AND('Brackets - prob'!D52&gt;J53-0.5,'Brackets - freq'!D52/'Brackets - prob'!D52&lt;P53/J53^2),1,0)</f>
        <v/>
      </c>
      <c r="BM53" s="197">
        <f>IF(AND('Brackets - prob'!E52&gt;K53-0.5,'Brackets - freq'!E52/'Brackets - prob'!E52&lt;Q53/K53^2),1,0)</f>
        <v/>
      </c>
      <c r="BN53" s="197">
        <f>IF(AND('Brackets - prob'!F52&gt;L53-0.5,'Brackets - freq'!F52/'Brackets - prob'!F52&lt;R53/L53^2),1,0)</f>
        <v/>
      </c>
      <c r="BO53" s="197">
        <f>IF(AND('Brackets - prob'!G52&gt;M53-0.5,'Brackets - freq'!G52/'Brackets - prob'!G52&lt;S53/M53^2),1,0)</f>
        <v/>
      </c>
    </row>
    <row r="54">
      <c r="A54" s="41" t="inlineStr">
        <is>
          <t>Washington</t>
        </is>
      </c>
      <c r="B54" s="51">
        <f>B53</f>
        <v/>
      </c>
      <c r="C54" s="51">
        <f>C53</f>
        <v/>
      </c>
      <c r="D54" s="51">
        <f>D53</f>
        <v/>
      </c>
      <c r="E54" s="51">
        <f>E53</f>
        <v/>
      </c>
      <c r="F54" s="51">
        <f>F53</f>
        <v/>
      </c>
      <c r="G54" s="51">
        <f>G53</f>
        <v/>
      </c>
      <c r="H54" s="52">
        <f>H53</f>
        <v/>
      </c>
      <c r="I54" s="52">
        <f>I53</f>
        <v/>
      </c>
      <c r="J54" s="52">
        <f>J53</f>
        <v/>
      </c>
      <c r="K54" s="52">
        <f>K53</f>
        <v/>
      </c>
      <c r="L54" s="52">
        <f>L53</f>
        <v/>
      </c>
      <c r="M54" s="52">
        <f>M53</f>
        <v/>
      </c>
      <c r="N54" s="53">
        <f>N53</f>
        <v/>
      </c>
      <c r="O54" s="53">
        <f>O53</f>
        <v/>
      </c>
      <c r="P54" s="53">
        <f>P53</f>
        <v/>
      </c>
      <c r="Q54" s="53">
        <f>Q53</f>
        <v/>
      </c>
      <c r="R54" s="53">
        <f>R53</f>
        <v/>
      </c>
      <c r="S54" s="53">
        <f>S53</f>
        <v/>
      </c>
      <c r="T54" s="191">
        <f>Bracket!E$2*('Brackets - prob'!B53-H54)</f>
        <v/>
      </c>
      <c r="U54" s="191">
        <f>Bracket!F$2*('Brackets - prob'!C53-I54)</f>
        <v/>
      </c>
      <c r="V54" s="191">
        <f>Bracket!G$2*('Brackets - prob'!D53-J54)</f>
        <v/>
      </c>
      <c r="W54" s="191">
        <f>Bracket!H$2*('Brackets - prob'!E53-K54)</f>
        <v/>
      </c>
      <c r="X54" s="191">
        <f>Bracket!I$2*('Brackets - prob'!F53-L54)</f>
        <v/>
      </c>
      <c r="Y54" s="191">
        <f>Bracket!J$2*('Brackets - prob'!G53-M54)</f>
        <v/>
      </c>
      <c r="Z54" s="192">
        <f>SUM(T54:$T54)</f>
        <v/>
      </c>
      <c r="AA54" s="192">
        <f>SUM($T54:U54)</f>
        <v/>
      </c>
      <c r="AB54" s="192">
        <f>SUM($T54:V54)</f>
        <v/>
      </c>
      <c r="AC54" s="192">
        <f>SUM($T54:W54)</f>
        <v/>
      </c>
      <c r="AD54" s="192">
        <f>SUM($T54:X54)</f>
        <v/>
      </c>
      <c r="AE54" s="192">
        <f>SUM($T54:Y54)</f>
        <v/>
      </c>
      <c r="AF54" s="193">
        <f>'Brackets - prob'!B53*(1-'Brackets - prob'!B53-2*'Brackets - freq'!B53+2*B54)+B54-B54^2</f>
        <v/>
      </c>
      <c r="AG54" s="193">
        <f>'Brackets - prob'!C53*(1-'Brackets - prob'!C53-2*'Brackets - freq'!C53+2*C54)+C54-C54^2</f>
        <v/>
      </c>
      <c r="AH54" s="193">
        <f>'Brackets - prob'!D53*(1-'Brackets - prob'!D53-2*'Brackets - freq'!D53+2*D54)+D54-D54^2</f>
        <v/>
      </c>
      <c r="AI54" s="193">
        <f>'Brackets - prob'!E53*(1-'Brackets - prob'!E53-2*'Brackets - freq'!E53+2*E54)+E54-E54^2</f>
        <v/>
      </c>
      <c r="AJ54" s="193">
        <f>'Brackets - prob'!F53*(1-'Brackets - prob'!F53-2*'Brackets - freq'!F53+2*F54)+F54-F54^2</f>
        <v/>
      </c>
      <c r="AK54" s="193">
        <f>'Brackets - prob'!G53*(1-'Brackets - prob'!G53-2*'Brackets - freq'!G53+2*G54)+G54-G54^2</f>
        <v/>
      </c>
      <c r="AL54" s="194">
        <f>Bracket!E$2^2*(('Brackets - prob'!B53-H54)*(1+2*B54)-'Brackets - prob'!B53^2+H54^2-2*('Brackets - prob'!B53*'Brackets - freq'!B53-N54))</f>
        <v/>
      </c>
      <c r="AM54" s="194">
        <f>Bracket!F$2^2*(('Brackets - prob'!C53-I54)*(1+2*C54)-'Brackets - prob'!C53^2+I54^2-2*('Brackets - prob'!C53*'Brackets - freq'!C53-O54))</f>
        <v/>
      </c>
      <c r="AN54" s="194">
        <f>Bracket!G$2^2*(('Brackets - prob'!D53-J54)*(1+2*D54)-'Brackets - prob'!D53^2+J54^2-2*('Brackets - prob'!D53*'Brackets - freq'!D53-P54))</f>
        <v/>
      </c>
      <c r="AO54" s="194">
        <f>Bracket!H$2^2*(('Brackets - prob'!E53-K54)*(1+2*E54)-'Brackets - prob'!E53^2+K54^2-2*('Brackets - prob'!E53*'Brackets - freq'!E53-Q54))</f>
        <v/>
      </c>
      <c r="AP54" s="194">
        <f>Bracket!I$2^2*(('Brackets - prob'!F53-L54)*(1+2*F54)-'Brackets - prob'!F53^2+L54^2-2*('Brackets - prob'!F53*'Brackets - freq'!F53-R54))</f>
        <v/>
      </c>
      <c r="AQ54" s="194">
        <f>Bracket!J$2^2*(('Brackets - prob'!G53-M54)*(1+2*G54)-'Brackets - prob'!G53^2+M54^2-2*('Brackets - prob'!G53*'Brackets - freq'!G53-S54))</f>
        <v/>
      </c>
      <c r="AR54" s="192">
        <f>SUM($AL54:AL54)</f>
        <v/>
      </c>
      <c r="AS54" s="192">
        <f>SUM($AL54:AM54)</f>
        <v/>
      </c>
      <c r="AT54" s="192">
        <f>SUM($AL54:AN54)</f>
        <v/>
      </c>
      <c r="AU54" s="192">
        <f>SUM($AL54:AO54)</f>
        <v/>
      </c>
      <c r="AV54" s="192">
        <f>SUM($AL54:AP54)</f>
        <v/>
      </c>
      <c r="AW54" s="192">
        <f>SUM($AL54:AQ54)</f>
        <v/>
      </c>
      <c r="AX54" s="195">
        <f>IF(Z54=0,0,AR54/Z54)</f>
        <v/>
      </c>
      <c r="AY54" s="195">
        <f>IF(AA54=0,0,AS54/AA54)</f>
        <v/>
      </c>
      <c r="AZ54" s="195">
        <f>IF(AB54=0,0,AT54/AB54)</f>
        <v/>
      </c>
      <c r="BA54" s="195">
        <f>IF(AC54=0,0,AU54/AC54)</f>
        <v/>
      </c>
      <c r="BB54" s="195">
        <f>IF(AD54=0,0,AV54/AD54)</f>
        <v/>
      </c>
      <c r="BC54" s="195">
        <f>IF(AE54=0,0,AW54/AE54)</f>
        <v/>
      </c>
      <c r="BD54" s="196">
        <f>IF(OR(AX54=0,AX54&lt;=-1),1,0)</f>
        <v/>
      </c>
      <c r="BE54" s="196">
        <f>IF(OR(AY54=0,AY54&lt;=-1),1,0)</f>
        <v/>
      </c>
      <c r="BF54" s="196">
        <f>IF(OR(AZ54=0,AZ54&lt;=-1),1,0)</f>
        <v/>
      </c>
      <c r="BG54" s="196">
        <f>IF(OR(BA54=0,BA54&lt;=-1),1,0)</f>
        <v/>
      </c>
      <c r="BH54" s="196">
        <f>IF(OR(BB54=0,BB54&lt;=-1),1,0)</f>
        <v/>
      </c>
      <c r="BI54" s="196">
        <f>IF(OR(BC54=0,BC54&lt;=-1),1,0)</f>
        <v/>
      </c>
      <c r="BJ54" s="197">
        <f>IF(AND('Brackets - prob'!B53&gt;H54-0.5,'Brackets - freq'!B53/'Brackets - prob'!B53&lt;N54/H54^2),1,0)</f>
        <v/>
      </c>
      <c r="BK54" s="197">
        <f>IF(AND('Brackets - prob'!C53&gt;I54-0.5,'Brackets - freq'!C53/'Brackets - prob'!C53&lt;O54/I54^2),1,0)</f>
        <v/>
      </c>
      <c r="BL54" s="197">
        <f>IF(AND('Brackets - prob'!D53&gt;J54-0.5,'Brackets - freq'!D53/'Brackets - prob'!D53&lt;P54/J54^2),1,0)</f>
        <v/>
      </c>
      <c r="BM54" s="197">
        <f>IF(AND('Brackets - prob'!E53&gt;K54-0.5,'Brackets - freq'!E53/'Brackets - prob'!E53&lt;Q54/K54^2),1,0)</f>
        <v/>
      </c>
      <c r="BN54" s="197">
        <f>IF(AND('Brackets - prob'!F53&gt;L54-0.5,'Brackets - freq'!F53/'Brackets - prob'!F53&lt;R54/L54^2),1,0)</f>
        <v/>
      </c>
      <c r="BO54" s="197">
        <f>IF(AND('Brackets - prob'!G53&gt;M54-0.5,'Brackets - freq'!G53/'Brackets - prob'!G53&lt;S54/M54^2),1,0)</f>
        <v/>
      </c>
    </row>
    <row r="55">
      <c r="A55" s="41" t="inlineStr">
        <is>
          <t>Auburn</t>
        </is>
      </c>
      <c r="B55" s="51">
        <f>SUMPRODUCT('Brackets - prob'!B54:B55,'Brackets - freq'!B54:B55)</f>
        <v/>
      </c>
      <c r="C55" s="51">
        <f>SUMPRODUCT('Brackets - prob'!C54:C57,'Brackets - freq'!C54:C57)</f>
        <v/>
      </c>
      <c r="D55" s="51">
        <f>D54</f>
        <v/>
      </c>
      <c r="E55" s="51">
        <f>E54</f>
        <v/>
      </c>
      <c r="F55" s="51">
        <f>F54</f>
        <v/>
      </c>
      <c r="G55" s="51">
        <f>G54</f>
        <v/>
      </c>
      <c r="H55" s="52">
        <f>MAX('Brackets - prob'!B54:B55)</f>
        <v/>
      </c>
      <c r="I55" s="52">
        <f>MAX('Brackets - prob'!C54:C57)</f>
        <v/>
      </c>
      <c r="J55" s="52">
        <f>J54</f>
        <v/>
      </c>
      <c r="K55" s="52">
        <f>K54</f>
        <v/>
      </c>
      <c r="L55" s="52">
        <f>L54</f>
        <v/>
      </c>
      <c r="M55" s="52">
        <f>M54</f>
        <v/>
      </c>
      <c r="N55" s="53">
        <f>AVERAGEIF('Brackets - prob'!B54:B55,"="&amp;H55,'Brackets - freq'!B54:B55)*H55</f>
        <v/>
      </c>
      <c r="O55" s="53">
        <f>AVERAGEIF('Brackets - prob'!C54:C57,"="&amp;I55,'Brackets - freq'!C54:C57)*I55</f>
        <v/>
      </c>
      <c r="P55" s="53">
        <f>P54</f>
        <v/>
      </c>
      <c r="Q55" s="53">
        <f>Q54</f>
        <v/>
      </c>
      <c r="R55" s="53">
        <f>R54</f>
        <v/>
      </c>
      <c r="S55" s="53">
        <f>S54</f>
        <v/>
      </c>
      <c r="T55" s="191">
        <f>Bracket!E$2*('Brackets - prob'!B54-H55)</f>
        <v/>
      </c>
      <c r="U55" s="191">
        <f>Bracket!F$2*('Brackets - prob'!C54-I55)</f>
        <v/>
      </c>
      <c r="V55" s="191">
        <f>Bracket!G$2*('Brackets - prob'!D54-J55)</f>
        <v/>
      </c>
      <c r="W55" s="191">
        <f>Bracket!H$2*('Brackets - prob'!E54-K55)</f>
        <v/>
      </c>
      <c r="X55" s="191">
        <f>Bracket!I$2*('Brackets - prob'!F54-L55)</f>
        <v/>
      </c>
      <c r="Y55" s="191">
        <f>Bracket!J$2*('Brackets - prob'!G54-M55)</f>
        <v/>
      </c>
      <c r="Z55" s="192">
        <f>SUM(T55:$T55)</f>
        <v/>
      </c>
      <c r="AA55" s="192">
        <f>SUM($T55:U55)</f>
        <v/>
      </c>
      <c r="AB55" s="192">
        <f>SUM($T55:V55)</f>
        <v/>
      </c>
      <c r="AC55" s="192">
        <f>SUM($T55:W55)</f>
        <v/>
      </c>
      <c r="AD55" s="192">
        <f>SUM($T55:X55)</f>
        <v/>
      </c>
      <c r="AE55" s="192">
        <f>SUM($T55:Y55)</f>
        <v/>
      </c>
      <c r="AF55" s="193">
        <f>'Brackets - prob'!B54*(1-'Brackets - prob'!B54-2*'Brackets - freq'!B54+2*B55)+B55-B55^2</f>
        <v/>
      </c>
      <c r="AG55" s="193">
        <f>'Brackets - prob'!C54*(1-'Brackets - prob'!C54-2*'Brackets - freq'!C54+2*C55)+C55-C55^2</f>
        <v/>
      </c>
      <c r="AH55" s="193">
        <f>'Brackets - prob'!D54*(1-'Brackets - prob'!D54-2*'Brackets - freq'!D54+2*D55)+D55-D55^2</f>
        <v/>
      </c>
      <c r="AI55" s="193">
        <f>'Brackets - prob'!E54*(1-'Brackets - prob'!E54-2*'Brackets - freq'!E54+2*E55)+E55-E55^2</f>
        <v/>
      </c>
      <c r="AJ55" s="193">
        <f>'Brackets - prob'!F54*(1-'Brackets - prob'!F54-2*'Brackets - freq'!F54+2*F55)+F55-F55^2</f>
        <v/>
      </c>
      <c r="AK55" s="193">
        <f>'Brackets - prob'!G54*(1-'Brackets - prob'!G54-2*'Brackets - freq'!G54+2*G55)+G55-G55^2</f>
        <v/>
      </c>
      <c r="AL55" s="194">
        <f>Bracket!E$2^2*(('Brackets - prob'!B54-H55)*(1+2*B55)-'Brackets - prob'!B54^2+H55^2-2*('Brackets - prob'!B54*'Brackets - freq'!B54-N55))</f>
        <v/>
      </c>
      <c r="AM55" s="194">
        <f>Bracket!F$2^2*(('Brackets - prob'!C54-I55)*(1+2*C55)-'Brackets - prob'!C54^2+I55^2-2*('Brackets - prob'!C54*'Brackets - freq'!C54-O55))</f>
        <v/>
      </c>
      <c r="AN55" s="194">
        <f>Bracket!G$2^2*(('Brackets - prob'!D54-J55)*(1+2*D55)-'Brackets - prob'!D54^2+J55^2-2*('Brackets - prob'!D54*'Brackets - freq'!D54-P55))</f>
        <v/>
      </c>
      <c r="AO55" s="194">
        <f>Bracket!H$2^2*(('Brackets - prob'!E54-K55)*(1+2*E55)-'Brackets - prob'!E54^2+K55^2-2*('Brackets - prob'!E54*'Brackets - freq'!E54-Q55))</f>
        <v/>
      </c>
      <c r="AP55" s="194">
        <f>Bracket!I$2^2*(('Brackets - prob'!F54-L55)*(1+2*F55)-'Brackets - prob'!F54^2+L55^2-2*('Brackets - prob'!F54*'Brackets - freq'!F54-R55))</f>
        <v/>
      </c>
      <c r="AQ55" s="194">
        <f>Bracket!J$2^2*(('Brackets - prob'!G54-M55)*(1+2*G55)-'Brackets - prob'!G54^2+M55^2-2*('Brackets - prob'!G54*'Brackets - freq'!G54-S55))</f>
        <v/>
      </c>
      <c r="AR55" s="192">
        <f>SUM($AL55:AL55)</f>
        <v/>
      </c>
      <c r="AS55" s="192">
        <f>SUM($AL55:AM55)</f>
        <v/>
      </c>
      <c r="AT55" s="192">
        <f>SUM($AL55:AN55)</f>
        <v/>
      </c>
      <c r="AU55" s="192">
        <f>SUM($AL55:AO55)</f>
        <v/>
      </c>
      <c r="AV55" s="192">
        <f>SUM($AL55:AP55)</f>
        <v/>
      </c>
      <c r="AW55" s="192">
        <f>SUM($AL55:AQ55)</f>
        <v/>
      </c>
      <c r="AX55" s="195">
        <f>IF(Z55=0,0,AR55/Z55)</f>
        <v/>
      </c>
      <c r="AY55" s="195">
        <f>IF(AA55=0,0,AS55/AA55)</f>
        <v/>
      </c>
      <c r="AZ55" s="195">
        <f>IF(AB55=0,0,AT55/AB55)</f>
        <v/>
      </c>
      <c r="BA55" s="195">
        <f>IF(AC55=0,0,AU55/AC55)</f>
        <v/>
      </c>
      <c r="BB55" s="195">
        <f>IF(AD55=0,0,AV55/AD55)</f>
        <v/>
      </c>
      <c r="BC55" s="195">
        <f>IF(AE55=0,0,AW55/AE55)</f>
        <v/>
      </c>
      <c r="BD55" s="196">
        <f>IF(OR(AX55=0,AX55&lt;=-1),1,0)</f>
        <v/>
      </c>
      <c r="BE55" s="196">
        <f>IF(OR(AY55=0,AY55&lt;=-1),1,0)</f>
        <v/>
      </c>
      <c r="BF55" s="196">
        <f>IF(OR(AZ55=0,AZ55&lt;=-1),1,0)</f>
        <v/>
      </c>
      <c r="BG55" s="196">
        <f>IF(OR(BA55=0,BA55&lt;=-1),1,0)</f>
        <v/>
      </c>
      <c r="BH55" s="196">
        <f>IF(OR(BB55=0,BB55&lt;=-1),1,0)</f>
        <v/>
      </c>
      <c r="BI55" s="196">
        <f>IF(OR(BC55=0,BC55&lt;=-1),1,0)</f>
        <v/>
      </c>
      <c r="BJ55" s="197">
        <f>IF(AND('Brackets - prob'!B54&gt;H55-0.5,'Brackets - freq'!B54/'Brackets - prob'!B54&lt;N55/H55^2),1,0)</f>
        <v/>
      </c>
      <c r="BK55" s="197">
        <f>IF(AND('Brackets - prob'!C54&gt;I55-0.5,'Brackets - freq'!C54/'Brackets - prob'!C54&lt;O55/I55^2),1,0)</f>
        <v/>
      </c>
      <c r="BL55" s="197">
        <f>IF(AND('Brackets - prob'!D54&gt;J55-0.5,'Brackets - freq'!D54/'Brackets - prob'!D54&lt;P55/J55^2),1,0)</f>
        <v/>
      </c>
      <c r="BM55" s="197">
        <f>IF(AND('Brackets - prob'!E54&gt;K55-0.5,'Brackets - freq'!E54/'Brackets - prob'!E54&lt;Q55/K55^2),1,0)</f>
        <v/>
      </c>
      <c r="BN55" s="197">
        <f>IF(AND('Brackets - prob'!F54&gt;L55-0.5,'Brackets - freq'!F54/'Brackets - prob'!F54&lt;R55/L55^2),1,0)</f>
        <v/>
      </c>
      <c r="BO55" s="197">
        <f>IF(AND('Brackets - prob'!G54&gt;M55-0.5,'Brackets - freq'!G54/'Brackets - prob'!G54&lt;S55/M55^2),1,0)</f>
        <v/>
      </c>
    </row>
    <row r="56">
      <c r="A56" s="41" t="inlineStr">
        <is>
          <t>New Mexico State</t>
        </is>
      </c>
      <c r="B56" s="51">
        <f>B55</f>
        <v/>
      </c>
      <c r="C56" s="51">
        <f>C55</f>
        <v/>
      </c>
      <c r="D56" s="51">
        <f>D55</f>
        <v/>
      </c>
      <c r="E56" s="51">
        <f>E55</f>
        <v/>
      </c>
      <c r="F56" s="51">
        <f>F55</f>
        <v/>
      </c>
      <c r="G56" s="51">
        <f>G55</f>
        <v/>
      </c>
      <c r="H56" s="52">
        <f>H55</f>
        <v/>
      </c>
      <c r="I56" s="52">
        <f>I55</f>
        <v/>
      </c>
      <c r="J56" s="52">
        <f>J55</f>
        <v/>
      </c>
      <c r="K56" s="52">
        <f>K55</f>
        <v/>
      </c>
      <c r="L56" s="52">
        <f>L55</f>
        <v/>
      </c>
      <c r="M56" s="52">
        <f>M55</f>
        <v/>
      </c>
      <c r="N56" s="53">
        <f>N55</f>
        <v/>
      </c>
      <c r="O56" s="53">
        <f>O55</f>
        <v/>
      </c>
      <c r="P56" s="53">
        <f>P55</f>
        <v/>
      </c>
      <c r="Q56" s="53">
        <f>Q55</f>
        <v/>
      </c>
      <c r="R56" s="53">
        <f>R55</f>
        <v/>
      </c>
      <c r="S56" s="53">
        <f>S55</f>
        <v/>
      </c>
      <c r="T56" s="191">
        <f>Bracket!E$2*('Brackets - prob'!B55-H56)</f>
        <v/>
      </c>
      <c r="U56" s="191">
        <f>Bracket!F$2*('Brackets - prob'!C55-I56)</f>
        <v/>
      </c>
      <c r="V56" s="191">
        <f>Bracket!G$2*('Brackets - prob'!D55-J56)</f>
        <v/>
      </c>
      <c r="W56" s="191">
        <f>Bracket!H$2*('Brackets - prob'!E55-K56)</f>
        <v/>
      </c>
      <c r="X56" s="191">
        <f>Bracket!I$2*('Brackets - prob'!F55-L56)</f>
        <v/>
      </c>
      <c r="Y56" s="191">
        <f>Bracket!J$2*('Brackets - prob'!G55-M56)</f>
        <v/>
      </c>
      <c r="Z56" s="192">
        <f>SUM(T56:$T56)</f>
        <v/>
      </c>
      <c r="AA56" s="192">
        <f>SUM($T56:U56)</f>
        <v/>
      </c>
      <c r="AB56" s="192">
        <f>SUM($T56:V56)</f>
        <v/>
      </c>
      <c r="AC56" s="192">
        <f>SUM($T56:W56)</f>
        <v/>
      </c>
      <c r="AD56" s="192">
        <f>SUM($T56:X56)</f>
        <v/>
      </c>
      <c r="AE56" s="192">
        <f>SUM($T56:Y56)</f>
        <v/>
      </c>
      <c r="AF56" s="193">
        <f>'Brackets - prob'!B55*(1-'Brackets - prob'!B55-2*'Brackets - freq'!B55+2*B56)+B56-B56^2</f>
        <v/>
      </c>
      <c r="AG56" s="193">
        <f>'Brackets - prob'!C55*(1-'Brackets - prob'!C55-2*'Brackets - freq'!C55+2*C56)+C56-C56^2</f>
        <v/>
      </c>
      <c r="AH56" s="193">
        <f>'Brackets - prob'!D55*(1-'Brackets - prob'!D55-2*'Brackets - freq'!D55+2*D56)+D56-D56^2</f>
        <v/>
      </c>
      <c r="AI56" s="193">
        <f>'Brackets - prob'!E55*(1-'Brackets - prob'!E55-2*'Brackets - freq'!E55+2*E56)+E56-E56^2</f>
        <v/>
      </c>
      <c r="AJ56" s="193">
        <f>'Brackets - prob'!F55*(1-'Brackets - prob'!F55-2*'Brackets - freq'!F55+2*F56)+F56-F56^2</f>
        <v/>
      </c>
      <c r="AK56" s="193">
        <f>'Brackets - prob'!G55*(1-'Brackets - prob'!G55-2*'Brackets - freq'!G55+2*G56)+G56-G56^2</f>
        <v/>
      </c>
      <c r="AL56" s="194">
        <f>Bracket!E$2^2*(('Brackets - prob'!B55-H56)*(1+2*B56)-'Brackets - prob'!B55^2+H56^2-2*('Brackets - prob'!B55*'Brackets - freq'!B55-N56))</f>
        <v/>
      </c>
      <c r="AM56" s="194">
        <f>Bracket!F$2^2*(('Brackets - prob'!C55-I56)*(1+2*C56)-'Brackets - prob'!C55^2+I56^2-2*('Brackets - prob'!C55*'Brackets - freq'!C55-O56))</f>
        <v/>
      </c>
      <c r="AN56" s="194">
        <f>Bracket!G$2^2*(('Brackets - prob'!D55-J56)*(1+2*D56)-'Brackets - prob'!D55^2+J56^2-2*('Brackets - prob'!D55*'Brackets - freq'!D55-P56))</f>
        <v/>
      </c>
      <c r="AO56" s="194">
        <f>Bracket!H$2^2*(('Brackets - prob'!E55-K56)*(1+2*E56)-'Brackets - prob'!E55^2+K56^2-2*('Brackets - prob'!E55*'Brackets - freq'!E55-Q56))</f>
        <v/>
      </c>
      <c r="AP56" s="194">
        <f>Bracket!I$2^2*(('Brackets - prob'!F55-L56)*(1+2*F56)-'Brackets - prob'!F55^2+L56^2-2*('Brackets - prob'!F55*'Brackets - freq'!F55-R56))</f>
        <v/>
      </c>
      <c r="AQ56" s="194">
        <f>Bracket!J$2^2*(('Brackets - prob'!G55-M56)*(1+2*G56)-'Brackets - prob'!G55^2+M56^2-2*('Brackets - prob'!G55*'Brackets - freq'!G55-S56))</f>
        <v/>
      </c>
      <c r="AR56" s="192">
        <f>SUM($AL56:AL56)</f>
        <v/>
      </c>
      <c r="AS56" s="192">
        <f>SUM($AL56:AM56)</f>
        <v/>
      </c>
      <c r="AT56" s="192">
        <f>SUM($AL56:AN56)</f>
        <v/>
      </c>
      <c r="AU56" s="192">
        <f>SUM($AL56:AO56)</f>
        <v/>
      </c>
      <c r="AV56" s="192">
        <f>SUM($AL56:AP56)</f>
        <v/>
      </c>
      <c r="AW56" s="192">
        <f>SUM($AL56:AQ56)</f>
        <v/>
      </c>
      <c r="AX56" s="195">
        <f>IF(Z56=0,0,AR56/Z56)</f>
        <v/>
      </c>
      <c r="AY56" s="195">
        <f>IF(AA56=0,0,AS56/AA56)</f>
        <v/>
      </c>
      <c r="AZ56" s="195">
        <f>IF(AB56=0,0,AT56/AB56)</f>
        <v/>
      </c>
      <c r="BA56" s="195">
        <f>IF(AC56=0,0,AU56/AC56)</f>
        <v/>
      </c>
      <c r="BB56" s="195">
        <f>IF(AD56=0,0,AV56/AD56)</f>
        <v/>
      </c>
      <c r="BC56" s="195">
        <f>IF(AE56=0,0,AW56/AE56)</f>
        <v/>
      </c>
      <c r="BD56" s="196">
        <f>IF(OR(AX56=0,AX56&lt;=-1),1,0)</f>
        <v/>
      </c>
      <c r="BE56" s="196">
        <f>IF(OR(AY56=0,AY56&lt;=-1),1,0)</f>
        <v/>
      </c>
      <c r="BF56" s="196">
        <f>IF(OR(AZ56=0,AZ56&lt;=-1),1,0)</f>
        <v/>
      </c>
      <c r="BG56" s="196">
        <f>IF(OR(BA56=0,BA56&lt;=-1),1,0)</f>
        <v/>
      </c>
      <c r="BH56" s="196">
        <f>IF(OR(BB56=0,BB56&lt;=-1),1,0)</f>
        <v/>
      </c>
      <c r="BI56" s="196">
        <f>IF(OR(BC56=0,BC56&lt;=-1),1,0)</f>
        <v/>
      </c>
      <c r="BJ56" s="197">
        <f>IF(AND('Brackets - prob'!B55&gt;H56-0.5,'Brackets - freq'!B55/'Brackets - prob'!B55&lt;N56/H56^2),1,0)</f>
        <v/>
      </c>
      <c r="BK56" s="197">
        <f>IF(AND('Brackets - prob'!C55&gt;I56-0.5,'Brackets - freq'!C55/'Brackets - prob'!C55&lt;O56/I56^2),1,0)</f>
        <v/>
      </c>
      <c r="BL56" s="197">
        <f>IF(AND('Brackets - prob'!D55&gt;J56-0.5,'Brackets - freq'!D55/'Brackets - prob'!D55&lt;P56/J56^2),1,0)</f>
        <v/>
      </c>
      <c r="BM56" s="197">
        <f>IF(AND('Brackets - prob'!E55&gt;K56-0.5,'Brackets - freq'!E55/'Brackets - prob'!E55&lt;Q56/K56^2),1,0)</f>
        <v/>
      </c>
      <c r="BN56" s="197">
        <f>IF(AND('Brackets - prob'!F55&gt;L56-0.5,'Brackets - freq'!F55/'Brackets - prob'!F55&lt;R56/L56^2),1,0)</f>
        <v/>
      </c>
      <c r="BO56" s="197">
        <f>IF(AND('Brackets - prob'!G55&gt;M56-0.5,'Brackets - freq'!G55/'Brackets - prob'!G55&lt;S56/M56^2),1,0)</f>
        <v/>
      </c>
    </row>
    <row r="57">
      <c r="A57" s="41" t="inlineStr">
        <is>
          <t>Kansas</t>
        </is>
      </c>
      <c r="B57" s="51">
        <f>SUMPRODUCT('Brackets - prob'!B56:B57,'Brackets - freq'!B56:B57)</f>
        <v/>
      </c>
      <c r="C57" s="51">
        <f>C56</f>
        <v/>
      </c>
      <c r="D57" s="51">
        <f>D56</f>
        <v/>
      </c>
      <c r="E57" s="51">
        <f>E56</f>
        <v/>
      </c>
      <c r="F57" s="51">
        <f>F56</f>
        <v/>
      </c>
      <c r="G57" s="51">
        <f>G56</f>
        <v/>
      </c>
      <c r="H57" s="52">
        <f>MAX('Brackets - prob'!B56:B57)</f>
        <v/>
      </c>
      <c r="I57" s="52">
        <f>I56</f>
        <v/>
      </c>
      <c r="J57" s="52">
        <f>J56</f>
        <v/>
      </c>
      <c r="K57" s="52">
        <f>K56</f>
        <v/>
      </c>
      <c r="L57" s="52">
        <f>L56</f>
        <v/>
      </c>
      <c r="M57" s="52">
        <f>M56</f>
        <v/>
      </c>
      <c r="N57" s="53">
        <f>AVERAGEIF('Brackets - prob'!B56:B57,"="&amp;H57,'Brackets - freq'!B56:B57)*H57</f>
        <v/>
      </c>
      <c r="O57" s="53">
        <f>O56</f>
        <v/>
      </c>
      <c r="P57" s="53">
        <f>P56</f>
        <v/>
      </c>
      <c r="Q57" s="53">
        <f>Q56</f>
        <v/>
      </c>
      <c r="R57" s="53">
        <f>R56</f>
        <v/>
      </c>
      <c r="S57" s="53">
        <f>S56</f>
        <v/>
      </c>
      <c r="T57" s="191">
        <f>Bracket!E$2*('Brackets - prob'!B56-H57)</f>
        <v/>
      </c>
      <c r="U57" s="191">
        <f>Bracket!F$2*('Brackets - prob'!C56-I57)</f>
        <v/>
      </c>
      <c r="V57" s="191">
        <f>Bracket!G$2*('Brackets - prob'!D56-J57)</f>
        <v/>
      </c>
      <c r="W57" s="191">
        <f>Bracket!H$2*('Brackets - prob'!E56-K57)</f>
        <v/>
      </c>
      <c r="X57" s="191">
        <f>Bracket!I$2*('Brackets - prob'!F56-L57)</f>
        <v/>
      </c>
      <c r="Y57" s="191">
        <f>Bracket!J$2*('Brackets - prob'!G56-M57)</f>
        <v/>
      </c>
      <c r="Z57" s="192">
        <f>SUM(T57:$T57)</f>
        <v/>
      </c>
      <c r="AA57" s="192">
        <f>SUM($T57:U57)</f>
        <v/>
      </c>
      <c r="AB57" s="192">
        <f>SUM($T57:V57)</f>
        <v/>
      </c>
      <c r="AC57" s="192">
        <f>SUM($T57:W57)</f>
        <v/>
      </c>
      <c r="AD57" s="192">
        <f>SUM($T57:X57)</f>
        <v/>
      </c>
      <c r="AE57" s="192">
        <f>SUM($T57:Y57)</f>
        <v/>
      </c>
      <c r="AF57" s="193">
        <f>'Brackets - prob'!B56*(1-'Brackets - prob'!B56-2*'Brackets - freq'!B56+2*B57)+B57-B57^2</f>
        <v/>
      </c>
      <c r="AG57" s="193">
        <f>'Brackets - prob'!C56*(1-'Brackets - prob'!C56-2*'Brackets - freq'!C56+2*C57)+C57-C57^2</f>
        <v/>
      </c>
      <c r="AH57" s="193">
        <f>'Brackets - prob'!D56*(1-'Brackets - prob'!D56-2*'Brackets - freq'!D56+2*D57)+D57-D57^2</f>
        <v/>
      </c>
      <c r="AI57" s="193">
        <f>'Brackets - prob'!E56*(1-'Brackets - prob'!E56-2*'Brackets - freq'!E56+2*E57)+E57-E57^2</f>
        <v/>
      </c>
      <c r="AJ57" s="193">
        <f>'Brackets - prob'!F56*(1-'Brackets - prob'!F56-2*'Brackets - freq'!F56+2*F57)+F57-F57^2</f>
        <v/>
      </c>
      <c r="AK57" s="193">
        <f>'Brackets - prob'!G56*(1-'Brackets - prob'!G56-2*'Brackets - freq'!G56+2*G57)+G57-G57^2</f>
        <v/>
      </c>
      <c r="AL57" s="194">
        <f>Bracket!E$2^2*(('Brackets - prob'!B56-H57)*(1+2*B57)-'Brackets - prob'!B56^2+H57^2-2*('Brackets - prob'!B56*'Brackets - freq'!B56-N57))</f>
        <v/>
      </c>
      <c r="AM57" s="194">
        <f>Bracket!F$2^2*(('Brackets - prob'!C56-I57)*(1+2*C57)-'Brackets - prob'!C56^2+I57^2-2*('Brackets - prob'!C56*'Brackets - freq'!C56-O57))</f>
        <v/>
      </c>
      <c r="AN57" s="194">
        <f>Bracket!G$2^2*(('Brackets - prob'!D56-J57)*(1+2*D57)-'Brackets - prob'!D56^2+J57^2-2*('Brackets - prob'!D56*'Brackets - freq'!D56-P57))</f>
        <v/>
      </c>
      <c r="AO57" s="194">
        <f>Bracket!H$2^2*(('Brackets - prob'!E56-K57)*(1+2*E57)-'Brackets - prob'!E56^2+K57^2-2*('Brackets - prob'!E56*'Brackets - freq'!E56-Q57))</f>
        <v/>
      </c>
      <c r="AP57" s="194">
        <f>Bracket!I$2^2*(('Brackets - prob'!F56-L57)*(1+2*F57)-'Brackets - prob'!F56^2+L57^2-2*('Brackets - prob'!F56*'Brackets - freq'!F56-R57))</f>
        <v/>
      </c>
      <c r="AQ57" s="194">
        <f>Bracket!J$2^2*(('Brackets - prob'!G56-M57)*(1+2*G57)-'Brackets - prob'!G56^2+M57^2-2*('Brackets - prob'!G56*'Brackets - freq'!G56-S57))</f>
        <v/>
      </c>
      <c r="AR57" s="192">
        <f>SUM($AL57:AL57)</f>
        <v/>
      </c>
      <c r="AS57" s="192">
        <f>SUM($AL57:AM57)</f>
        <v/>
      </c>
      <c r="AT57" s="192">
        <f>SUM($AL57:AN57)</f>
        <v/>
      </c>
      <c r="AU57" s="192">
        <f>SUM($AL57:AO57)</f>
        <v/>
      </c>
      <c r="AV57" s="192">
        <f>SUM($AL57:AP57)</f>
        <v/>
      </c>
      <c r="AW57" s="192">
        <f>SUM($AL57:AQ57)</f>
        <v/>
      </c>
      <c r="AX57" s="195">
        <f>IF(Z57=0,0,AR57/Z57)</f>
        <v/>
      </c>
      <c r="AY57" s="195">
        <f>IF(AA57=0,0,AS57/AA57)</f>
        <v/>
      </c>
      <c r="AZ57" s="195">
        <f>IF(AB57=0,0,AT57/AB57)</f>
        <v/>
      </c>
      <c r="BA57" s="195">
        <f>IF(AC57=0,0,AU57/AC57)</f>
        <v/>
      </c>
      <c r="BB57" s="195">
        <f>IF(AD57=0,0,AV57/AD57)</f>
        <v/>
      </c>
      <c r="BC57" s="195">
        <f>IF(AE57=0,0,AW57/AE57)</f>
        <v/>
      </c>
      <c r="BD57" s="196">
        <f>IF(OR(AX57=0,AX57&lt;=-1),1,0)</f>
        <v/>
      </c>
      <c r="BE57" s="196">
        <f>IF(OR(AY57=0,AY57&lt;=-1),1,0)</f>
        <v/>
      </c>
      <c r="BF57" s="196">
        <f>IF(OR(AZ57=0,AZ57&lt;=-1),1,0)</f>
        <v/>
      </c>
      <c r="BG57" s="196">
        <f>IF(OR(BA57=0,BA57&lt;=-1),1,0)</f>
        <v/>
      </c>
      <c r="BH57" s="196">
        <f>IF(OR(BB57=0,BB57&lt;=-1),1,0)</f>
        <v/>
      </c>
      <c r="BI57" s="196">
        <f>IF(OR(BC57=0,BC57&lt;=-1),1,0)</f>
        <v/>
      </c>
      <c r="BJ57" s="197">
        <f>IF(AND('Brackets - prob'!B56&gt;H57-0.5,'Brackets - freq'!B56/'Brackets - prob'!B56&lt;N57/H57^2),1,0)</f>
        <v/>
      </c>
      <c r="BK57" s="197">
        <f>IF(AND('Brackets - prob'!C56&gt;I57-0.5,'Brackets - freq'!C56/'Brackets - prob'!C56&lt;O57/I57^2),1,0)</f>
        <v/>
      </c>
      <c r="BL57" s="197">
        <f>IF(AND('Brackets - prob'!D56&gt;J57-0.5,'Brackets - freq'!D56/'Brackets - prob'!D56&lt;P57/J57^2),1,0)</f>
        <v/>
      </c>
      <c r="BM57" s="197">
        <f>IF(AND('Brackets - prob'!E56&gt;K57-0.5,'Brackets - freq'!E56/'Brackets - prob'!E56&lt;Q57/K57^2),1,0)</f>
        <v/>
      </c>
      <c r="BN57" s="197">
        <f>IF(AND('Brackets - prob'!F56&gt;L57-0.5,'Brackets - freq'!F56/'Brackets - prob'!F56&lt;R57/L57^2),1,0)</f>
        <v/>
      </c>
      <c r="BO57" s="197">
        <f>IF(AND('Brackets - prob'!G56&gt;M57-0.5,'Brackets - freq'!G56/'Brackets - prob'!G56&lt;S57/M57^2),1,0)</f>
        <v/>
      </c>
    </row>
    <row r="58">
      <c r="A58" s="41" t="inlineStr">
        <is>
          <t>Northeastern</t>
        </is>
      </c>
      <c r="B58" s="51">
        <f>B57</f>
        <v/>
      </c>
      <c r="C58" s="51">
        <f>C57</f>
        <v/>
      </c>
      <c r="D58" s="51">
        <f>D57</f>
        <v/>
      </c>
      <c r="E58" s="51">
        <f>E57</f>
        <v/>
      </c>
      <c r="F58" s="51">
        <f>F57</f>
        <v/>
      </c>
      <c r="G58" s="51">
        <f>G57</f>
        <v/>
      </c>
      <c r="H58" s="52">
        <f>H57</f>
        <v/>
      </c>
      <c r="I58" s="52">
        <f>I57</f>
        <v/>
      </c>
      <c r="J58" s="52">
        <f>J57</f>
        <v/>
      </c>
      <c r="K58" s="52">
        <f>K57</f>
        <v/>
      </c>
      <c r="L58" s="52">
        <f>L57</f>
        <v/>
      </c>
      <c r="M58" s="52">
        <f>M57</f>
        <v/>
      </c>
      <c r="N58" s="53">
        <f>N57</f>
        <v/>
      </c>
      <c r="O58" s="53">
        <f>O57</f>
        <v/>
      </c>
      <c r="P58" s="53">
        <f>P57</f>
        <v/>
      </c>
      <c r="Q58" s="53">
        <f>Q57</f>
        <v/>
      </c>
      <c r="R58" s="53">
        <f>R57</f>
        <v/>
      </c>
      <c r="S58" s="53">
        <f>S57</f>
        <v/>
      </c>
      <c r="T58" s="191">
        <f>Bracket!E$2*('Brackets - prob'!B57-H58)</f>
        <v/>
      </c>
      <c r="U58" s="191">
        <f>Bracket!F$2*('Brackets - prob'!C57-I58)</f>
        <v/>
      </c>
      <c r="V58" s="191">
        <f>Bracket!G$2*('Brackets - prob'!D57-J58)</f>
        <v/>
      </c>
      <c r="W58" s="191">
        <f>Bracket!H$2*('Brackets - prob'!E57-K58)</f>
        <v/>
      </c>
      <c r="X58" s="191">
        <f>Bracket!I$2*('Brackets - prob'!F57-L58)</f>
        <v/>
      </c>
      <c r="Y58" s="191">
        <f>Bracket!J$2*('Brackets - prob'!G57-M58)</f>
        <v/>
      </c>
      <c r="Z58" s="192">
        <f>SUM(T58:$T58)</f>
        <v/>
      </c>
      <c r="AA58" s="192">
        <f>SUM($T58:U58)</f>
        <v/>
      </c>
      <c r="AB58" s="192">
        <f>SUM($T58:V58)</f>
        <v/>
      </c>
      <c r="AC58" s="192">
        <f>SUM($T58:W58)</f>
        <v/>
      </c>
      <c r="AD58" s="192">
        <f>SUM($T58:X58)</f>
        <v/>
      </c>
      <c r="AE58" s="192">
        <f>SUM($T58:Y58)</f>
        <v/>
      </c>
      <c r="AF58" s="193">
        <f>'Brackets - prob'!B57*(1-'Brackets - prob'!B57-2*'Brackets - freq'!B57+2*B58)+B58-B58^2</f>
        <v/>
      </c>
      <c r="AG58" s="193">
        <f>'Brackets - prob'!C57*(1-'Brackets - prob'!C57-2*'Brackets - freq'!C57+2*C58)+C58-C58^2</f>
        <v/>
      </c>
      <c r="AH58" s="193">
        <f>'Brackets - prob'!D57*(1-'Brackets - prob'!D57-2*'Brackets - freq'!D57+2*D58)+D58-D58^2</f>
        <v/>
      </c>
      <c r="AI58" s="193">
        <f>'Brackets - prob'!E57*(1-'Brackets - prob'!E57-2*'Brackets - freq'!E57+2*E58)+E58-E58^2</f>
        <v/>
      </c>
      <c r="AJ58" s="193">
        <f>'Brackets - prob'!F57*(1-'Brackets - prob'!F57-2*'Brackets - freq'!F57+2*F58)+F58-F58^2</f>
        <v/>
      </c>
      <c r="AK58" s="193">
        <f>'Brackets - prob'!G57*(1-'Brackets - prob'!G57-2*'Brackets - freq'!G57+2*G58)+G58-G58^2</f>
        <v/>
      </c>
      <c r="AL58" s="194">
        <f>Bracket!E$2^2*(('Brackets - prob'!B57-H58)*(1+2*B58)-'Brackets - prob'!B57^2+H58^2-2*('Brackets - prob'!B57*'Brackets - freq'!B57-N58))</f>
        <v/>
      </c>
      <c r="AM58" s="194">
        <f>Bracket!F$2^2*(('Brackets - prob'!C57-I58)*(1+2*C58)-'Brackets - prob'!C57^2+I58^2-2*('Brackets - prob'!C57*'Brackets - freq'!C57-O58))</f>
        <v/>
      </c>
      <c r="AN58" s="194">
        <f>Bracket!G$2^2*(('Brackets - prob'!D57-J58)*(1+2*D58)-'Brackets - prob'!D57^2+J58^2-2*('Brackets - prob'!D57*'Brackets - freq'!D57-P58))</f>
        <v/>
      </c>
      <c r="AO58" s="194">
        <f>Bracket!H$2^2*(('Brackets - prob'!E57-K58)*(1+2*E58)-'Brackets - prob'!E57^2+K58^2-2*('Brackets - prob'!E57*'Brackets - freq'!E57-Q58))</f>
        <v/>
      </c>
      <c r="AP58" s="194">
        <f>Bracket!I$2^2*(('Brackets - prob'!F57-L58)*(1+2*F58)-'Brackets - prob'!F57^2+L58^2-2*('Brackets - prob'!F57*'Brackets - freq'!F57-R58))</f>
        <v/>
      </c>
      <c r="AQ58" s="194">
        <f>Bracket!J$2^2*(('Brackets - prob'!G57-M58)*(1+2*G58)-'Brackets - prob'!G57^2+M58^2-2*('Brackets - prob'!G57*'Brackets - freq'!G57-S58))</f>
        <v/>
      </c>
      <c r="AR58" s="192">
        <f>SUM($AL58:AL58)</f>
        <v/>
      </c>
      <c r="AS58" s="192">
        <f>SUM($AL58:AM58)</f>
        <v/>
      </c>
      <c r="AT58" s="192">
        <f>SUM($AL58:AN58)</f>
        <v/>
      </c>
      <c r="AU58" s="192">
        <f>SUM($AL58:AO58)</f>
        <v/>
      </c>
      <c r="AV58" s="192">
        <f>SUM($AL58:AP58)</f>
        <v/>
      </c>
      <c r="AW58" s="192">
        <f>SUM($AL58:AQ58)</f>
        <v/>
      </c>
      <c r="AX58" s="195">
        <f>IF(Z58=0,0,AR58/Z58)</f>
        <v/>
      </c>
      <c r="AY58" s="195">
        <f>IF(AA58=0,0,AS58/AA58)</f>
        <v/>
      </c>
      <c r="AZ58" s="195">
        <f>IF(AB58=0,0,AT58/AB58)</f>
        <v/>
      </c>
      <c r="BA58" s="195">
        <f>IF(AC58=0,0,AU58/AC58)</f>
        <v/>
      </c>
      <c r="BB58" s="195">
        <f>IF(AD58=0,0,AV58/AD58)</f>
        <v/>
      </c>
      <c r="BC58" s="195">
        <f>IF(AE58=0,0,AW58/AE58)</f>
        <v/>
      </c>
      <c r="BD58" s="196">
        <f>IF(OR(AX58=0,AX58&lt;=-1),1,0)</f>
        <v/>
      </c>
      <c r="BE58" s="196">
        <f>IF(OR(AY58=0,AY58&lt;=-1),1,0)</f>
        <v/>
      </c>
      <c r="BF58" s="196">
        <f>IF(OR(AZ58=0,AZ58&lt;=-1),1,0)</f>
        <v/>
      </c>
      <c r="BG58" s="196">
        <f>IF(OR(BA58=0,BA58&lt;=-1),1,0)</f>
        <v/>
      </c>
      <c r="BH58" s="196">
        <f>IF(OR(BB58=0,BB58&lt;=-1),1,0)</f>
        <v/>
      </c>
      <c r="BI58" s="196">
        <f>IF(OR(BC58=0,BC58&lt;=-1),1,0)</f>
        <v/>
      </c>
      <c r="BJ58" s="197">
        <f>IF(AND('Brackets - prob'!B57&gt;H58-0.5,'Brackets - freq'!B57/'Brackets - prob'!B57&lt;N58/H58^2),1,0)</f>
        <v/>
      </c>
      <c r="BK58" s="197">
        <f>IF(AND('Brackets - prob'!C57&gt;I58-0.5,'Brackets - freq'!C57/'Brackets - prob'!C57&lt;O58/I58^2),1,0)</f>
        <v/>
      </c>
      <c r="BL58" s="197">
        <f>IF(AND('Brackets - prob'!D57&gt;J58-0.5,'Brackets - freq'!D57/'Brackets - prob'!D57&lt;P58/J58^2),1,0)</f>
        <v/>
      </c>
      <c r="BM58" s="197">
        <f>IF(AND('Brackets - prob'!E57&gt;K58-0.5,'Brackets - freq'!E57/'Brackets - prob'!E57&lt;Q58/K58^2),1,0)</f>
        <v/>
      </c>
      <c r="BN58" s="197">
        <f>IF(AND('Brackets - prob'!F57&gt;L58-0.5,'Brackets - freq'!F57/'Brackets - prob'!F57&lt;R58/L58^2),1,0)</f>
        <v/>
      </c>
      <c r="BO58" s="197">
        <f>IF(AND('Brackets - prob'!G57&gt;M58-0.5,'Brackets - freq'!G57/'Brackets - prob'!G57&lt;S58/M58^2),1,0)</f>
        <v/>
      </c>
    </row>
    <row r="59">
      <c r="A59" s="41" t="inlineStr">
        <is>
          <t>Iowa State</t>
        </is>
      </c>
      <c r="B59" s="51">
        <f>SUMPRODUCT('Brackets - prob'!B58:B59,'Brackets - freq'!B58:B59)</f>
        <v/>
      </c>
      <c r="C59" s="51">
        <f>SUMPRODUCT('Brackets - prob'!C58:C61,'Brackets - freq'!C58:C61)</f>
        <v/>
      </c>
      <c r="D59" s="51">
        <f>SUMPRODUCT('Brackets - prob'!D58:D65,'Brackets - freq'!D58:D65)</f>
        <v/>
      </c>
      <c r="E59" s="51">
        <f>E58</f>
        <v/>
      </c>
      <c r="F59" s="51">
        <f>F58</f>
        <v/>
      </c>
      <c r="G59" s="51">
        <f>G58</f>
        <v/>
      </c>
      <c r="H59" s="52">
        <f>MAX('Brackets - prob'!B58:B59)</f>
        <v/>
      </c>
      <c r="I59" s="52">
        <f>MAX('Brackets - prob'!C58:C61)</f>
        <v/>
      </c>
      <c r="J59" s="52">
        <f>MAX('Brackets - prob'!D58:D65)</f>
        <v/>
      </c>
      <c r="K59" s="52">
        <f>K58</f>
        <v/>
      </c>
      <c r="L59" s="52">
        <f>L58</f>
        <v/>
      </c>
      <c r="M59" s="52">
        <f>M58</f>
        <v/>
      </c>
      <c r="N59" s="53">
        <f>AVERAGEIF('Brackets - prob'!B58:B59,"="&amp;H59,'Brackets - freq'!B58:B59)*H59</f>
        <v/>
      </c>
      <c r="O59" s="53">
        <f>AVERAGEIF('Brackets - prob'!C58:C61,"="&amp;I59,'Brackets - freq'!C58:C61)*I59</f>
        <v/>
      </c>
      <c r="P59" s="53">
        <f>AVERAGEIF('Brackets - prob'!D58:D65,"="&amp;J59,'Brackets - freq'!D58:D65)*J59</f>
        <v/>
      </c>
      <c r="Q59" s="53">
        <f>Q58</f>
        <v/>
      </c>
      <c r="R59" s="53">
        <f>R58</f>
        <v/>
      </c>
      <c r="S59" s="53">
        <f>S58</f>
        <v/>
      </c>
      <c r="T59" s="191">
        <f>Bracket!E$2*('Brackets - prob'!B58-H59)</f>
        <v/>
      </c>
      <c r="U59" s="191">
        <f>Bracket!F$2*('Brackets - prob'!C58-I59)</f>
        <v/>
      </c>
      <c r="V59" s="191">
        <f>Bracket!G$2*('Brackets - prob'!D58-J59)</f>
        <v/>
      </c>
      <c r="W59" s="191">
        <f>Bracket!H$2*('Brackets - prob'!E58-K59)</f>
        <v/>
      </c>
      <c r="X59" s="191">
        <f>Bracket!I$2*('Brackets - prob'!F58-L59)</f>
        <v/>
      </c>
      <c r="Y59" s="191">
        <f>Bracket!J$2*('Brackets - prob'!G58-M59)</f>
        <v/>
      </c>
      <c r="Z59" s="192">
        <f>SUM(T59:$T59)</f>
        <v/>
      </c>
      <c r="AA59" s="192">
        <f>SUM($T59:U59)</f>
        <v/>
      </c>
      <c r="AB59" s="192">
        <f>SUM($T59:V59)</f>
        <v/>
      </c>
      <c r="AC59" s="192">
        <f>SUM($T59:W59)</f>
        <v/>
      </c>
      <c r="AD59" s="192">
        <f>SUM($T59:X59)</f>
        <v/>
      </c>
      <c r="AE59" s="192">
        <f>SUM($T59:Y59)</f>
        <v/>
      </c>
      <c r="AF59" s="193">
        <f>'Brackets - prob'!B58*(1-'Brackets - prob'!B58-2*'Brackets - freq'!B58+2*B59)+B59-B59^2</f>
        <v/>
      </c>
      <c r="AG59" s="193">
        <f>'Brackets - prob'!C58*(1-'Brackets - prob'!C58-2*'Brackets - freq'!C58+2*C59)+C59-C59^2</f>
        <v/>
      </c>
      <c r="AH59" s="193">
        <f>'Brackets - prob'!D58*(1-'Brackets - prob'!D58-2*'Brackets - freq'!D58+2*D59)+D59-D59^2</f>
        <v/>
      </c>
      <c r="AI59" s="193">
        <f>'Brackets - prob'!E58*(1-'Brackets - prob'!E58-2*'Brackets - freq'!E58+2*E59)+E59-E59^2</f>
        <v/>
      </c>
      <c r="AJ59" s="193">
        <f>'Brackets - prob'!F58*(1-'Brackets - prob'!F58-2*'Brackets - freq'!F58+2*F59)+F59-F59^2</f>
        <v/>
      </c>
      <c r="AK59" s="193">
        <f>'Brackets - prob'!G58*(1-'Brackets - prob'!G58-2*'Brackets - freq'!G58+2*G59)+G59-G59^2</f>
        <v/>
      </c>
      <c r="AL59" s="194">
        <f>Bracket!E$2^2*(('Brackets - prob'!B58-H59)*(1+2*B59)-'Brackets - prob'!B58^2+H59^2-2*('Brackets - prob'!B58*'Brackets - freq'!B58-N59))</f>
        <v/>
      </c>
      <c r="AM59" s="194">
        <f>Bracket!F$2^2*(('Brackets - prob'!C58-I59)*(1+2*C59)-'Brackets - prob'!C58^2+I59^2-2*('Brackets - prob'!C58*'Brackets - freq'!C58-O59))</f>
        <v/>
      </c>
      <c r="AN59" s="194">
        <f>Bracket!G$2^2*(('Brackets - prob'!D58-J59)*(1+2*D59)-'Brackets - prob'!D58^2+J59^2-2*('Brackets - prob'!D58*'Brackets - freq'!D58-P59))</f>
        <v/>
      </c>
      <c r="AO59" s="194">
        <f>Bracket!H$2^2*(('Brackets - prob'!E58-K59)*(1+2*E59)-'Brackets - prob'!E58^2+K59^2-2*('Brackets - prob'!E58*'Brackets - freq'!E58-Q59))</f>
        <v/>
      </c>
      <c r="AP59" s="194">
        <f>Bracket!I$2^2*(('Brackets - prob'!F58-L59)*(1+2*F59)-'Brackets - prob'!F58^2+L59^2-2*('Brackets - prob'!F58*'Brackets - freq'!F58-R59))</f>
        <v/>
      </c>
      <c r="AQ59" s="194">
        <f>Bracket!J$2^2*(('Brackets - prob'!G58-M59)*(1+2*G59)-'Brackets - prob'!G58^2+M59^2-2*('Brackets - prob'!G58*'Brackets - freq'!G58-S59))</f>
        <v/>
      </c>
      <c r="AR59" s="192">
        <f>SUM($AL59:AL59)</f>
        <v/>
      </c>
      <c r="AS59" s="192">
        <f>SUM($AL59:AM59)</f>
        <v/>
      </c>
      <c r="AT59" s="192">
        <f>SUM($AL59:AN59)</f>
        <v/>
      </c>
      <c r="AU59" s="192">
        <f>SUM($AL59:AO59)</f>
        <v/>
      </c>
      <c r="AV59" s="192">
        <f>SUM($AL59:AP59)</f>
        <v/>
      </c>
      <c r="AW59" s="192">
        <f>SUM($AL59:AQ59)</f>
        <v/>
      </c>
      <c r="AX59" s="195">
        <f>IF(Z59=0,0,AR59/Z59)</f>
        <v/>
      </c>
      <c r="AY59" s="195">
        <f>IF(AA59=0,0,AS59/AA59)</f>
        <v/>
      </c>
      <c r="AZ59" s="195">
        <f>IF(AB59=0,0,AT59/AB59)</f>
        <v/>
      </c>
      <c r="BA59" s="195">
        <f>IF(AC59=0,0,AU59/AC59)</f>
        <v/>
      </c>
      <c r="BB59" s="195">
        <f>IF(AD59=0,0,AV59/AD59)</f>
        <v/>
      </c>
      <c r="BC59" s="195">
        <f>IF(AE59=0,0,AW59/AE59)</f>
        <v/>
      </c>
      <c r="BD59" s="196">
        <f>IF(OR(AX59=0,AX59&lt;=-1),1,0)</f>
        <v/>
      </c>
      <c r="BE59" s="196">
        <f>IF(OR(AY59=0,AY59&lt;=-1),1,0)</f>
        <v/>
      </c>
      <c r="BF59" s="196">
        <f>IF(OR(AZ59=0,AZ59&lt;=-1),1,0)</f>
        <v/>
      </c>
      <c r="BG59" s="196">
        <f>IF(OR(BA59=0,BA59&lt;=-1),1,0)</f>
        <v/>
      </c>
      <c r="BH59" s="196">
        <f>IF(OR(BB59=0,BB59&lt;=-1),1,0)</f>
        <v/>
      </c>
      <c r="BI59" s="196">
        <f>IF(OR(BC59=0,BC59&lt;=-1),1,0)</f>
        <v/>
      </c>
      <c r="BJ59" s="197">
        <f>IF(AND('Brackets - prob'!B58&gt;H59-0.5,'Brackets - freq'!B58/'Brackets - prob'!B58&lt;N59/H59^2),1,0)</f>
        <v/>
      </c>
      <c r="BK59" s="197">
        <f>IF(AND('Brackets - prob'!C58&gt;I59-0.5,'Brackets - freq'!C58/'Brackets - prob'!C58&lt;O59/I59^2),1,0)</f>
        <v/>
      </c>
      <c r="BL59" s="197">
        <f>IF(AND('Brackets - prob'!D58&gt;J59-0.5,'Brackets - freq'!D58/'Brackets - prob'!D58&lt;P59/J59^2),1,0)</f>
        <v/>
      </c>
      <c r="BM59" s="197">
        <f>IF(AND('Brackets - prob'!E58&gt;K59-0.5,'Brackets - freq'!E58/'Brackets - prob'!E58&lt;Q59/K59^2),1,0)</f>
        <v/>
      </c>
      <c r="BN59" s="197">
        <f>IF(AND('Brackets - prob'!F58&gt;L59-0.5,'Brackets - freq'!F58/'Brackets - prob'!F58&lt;R59/L59^2),1,0)</f>
        <v/>
      </c>
      <c r="BO59" s="197">
        <f>IF(AND('Brackets - prob'!G58&gt;M59-0.5,'Brackets - freq'!G58/'Brackets - prob'!G58&lt;S59/M59^2),1,0)</f>
        <v/>
      </c>
    </row>
    <row r="60">
      <c r="A60" s="41" t="inlineStr">
        <is>
          <t>Ohio State</t>
        </is>
      </c>
      <c r="B60" s="51">
        <f>B59</f>
        <v/>
      </c>
      <c r="C60" s="51">
        <f>C59</f>
        <v/>
      </c>
      <c r="D60" s="51">
        <f>D59</f>
        <v/>
      </c>
      <c r="E60" s="51">
        <f>E59</f>
        <v/>
      </c>
      <c r="F60" s="51">
        <f>F59</f>
        <v/>
      </c>
      <c r="G60" s="51">
        <f>G59</f>
        <v/>
      </c>
      <c r="H60" s="52">
        <f>H59</f>
        <v/>
      </c>
      <c r="I60" s="52">
        <f>I59</f>
        <v/>
      </c>
      <c r="J60" s="52">
        <f>J59</f>
        <v/>
      </c>
      <c r="K60" s="52">
        <f>K59</f>
        <v/>
      </c>
      <c r="L60" s="52">
        <f>L59</f>
        <v/>
      </c>
      <c r="M60" s="52">
        <f>M59</f>
        <v/>
      </c>
      <c r="N60" s="53">
        <f>N59</f>
        <v/>
      </c>
      <c r="O60" s="53">
        <f>O59</f>
        <v/>
      </c>
      <c r="P60" s="53">
        <f>P59</f>
        <v/>
      </c>
      <c r="Q60" s="53">
        <f>Q59</f>
        <v/>
      </c>
      <c r="R60" s="53">
        <f>R59</f>
        <v/>
      </c>
      <c r="S60" s="53">
        <f>S59</f>
        <v/>
      </c>
      <c r="T60" s="191">
        <f>Bracket!E$2*('Brackets - prob'!B59-H60)</f>
        <v/>
      </c>
      <c r="U60" s="191">
        <f>Bracket!F$2*('Brackets - prob'!C59-I60)</f>
        <v/>
      </c>
      <c r="V60" s="191">
        <f>Bracket!G$2*('Brackets - prob'!D59-J60)</f>
        <v/>
      </c>
      <c r="W60" s="191">
        <f>Bracket!H$2*('Brackets - prob'!E59-K60)</f>
        <v/>
      </c>
      <c r="X60" s="191">
        <f>Bracket!I$2*('Brackets - prob'!F59-L60)</f>
        <v/>
      </c>
      <c r="Y60" s="191">
        <f>Bracket!J$2*('Brackets - prob'!G59-M60)</f>
        <v/>
      </c>
      <c r="Z60" s="192">
        <f>SUM(T60:$T60)</f>
        <v/>
      </c>
      <c r="AA60" s="192">
        <f>SUM($T60:U60)</f>
        <v/>
      </c>
      <c r="AB60" s="192">
        <f>SUM($T60:V60)</f>
        <v/>
      </c>
      <c r="AC60" s="192">
        <f>SUM($T60:W60)</f>
        <v/>
      </c>
      <c r="AD60" s="192">
        <f>SUM($T60:X60)</f>
        <v/>
      </c>
      <c r="AE60" s="192">
        <f>SUM($T60:Y60)</f>
        <v/>
      </c>
      <c r="AF60" s="193">
        <f>'Brackets - prob'!B59*(1-'Brackets - prob'!B59-2*'Brackets - freq'!B59+2*B60)+B60-B60^2</f>
        <v/>
      </c>
      <c r="AG60" s="193">
        <f>'Brackets - prob'!C59*(1-'Brackets - prob'!C59-2*'Brackets - freq'!C59+2*C60)+C60-C60^2</f>
        <v/>
      </c>
      <c r="AH60" s="193">
        <f>'Brackets - prob'!D59*(1-'Brackets - prob'!D59-2*'Brackets - freq'!D59+2*D60)+D60-D60^2</f>
        <v/>
      </c>
      <c r="AI60" s="193">
        <f>'Brackets - prob'!E59*(1-'Brackets - prob'!E59-2*'Brackets - freq'!E59+2*E60)+E60-E60^2</f>
        <v/>
      </c>
      <c r="AJ60" s="193">
        <f>'Brackets - prob'!F59*(1-'Brackets - prob'!F59-2*'Brackets - freq'!F59+2*F60)+F60-F60^2</f>
        <v/>
      </c>
      <c r="AK60" s="193">
        <f>'Brackets - prob'!G59*(1-'Brackets - prob'!G59-2*'Brackets - freq'!G59+2*G60)+G60-G60^2</f>
        <v/>
      </c>
      <c r="AL60" s="194">
        <f>Bracket!E$2^2*(('Brackets - prob'!B59-H60)*(1+2*B60)-'Brackets - prob'!B59^2+H60^2-2*('Brackets - prob'!B59*'Brackets - freq'!B59-N60))</f>
        <v/>
      </c>
      <c r="AM60" s="194">
        <f>Bracket!F$2^2*(('Brackets - prob'!C59-I60)*(1+2*C60)-'Brackets - prob'!C59^2+I60^2-2*('Brackets - prob'!C59*'Brackets - freq'!C59-O60))</f>
        <v/>
      </c>
      <c r="AN60" s="194">
        <f>Bracket!G$2^2*(('Brackets - prob'!D59-J60)*(1+2*D60)-'Brackets - prob'!D59^2+J60^2-2*('Brackets - prob'!D59*'Brackets - freq'!D59-P60))</f>
        <v/>
      </c>
      <c r="AO60" s="194">
        <f>Bracket!H$2^2*(('Brackets - prob'!E59-K60)*(1+2*E60)-'Brackets - prob'!E59^2+K60^2-2*('Brackets - prob'!E59*'Brackets - freq'!E59-Q60))</f>
        <v/>
      </c>
      <c r="AP60" s="194">
        <f>Bracket!I$2^2*(('Brackets - prob'!F59-L60)*(1+2*F60)-'Brackets - prob'!F59^2+L60^2-2*('Brackets - prob'!F59*'Brackets - freq'!F59-R60))</f>
        <v/>
      </c>
      <c r="AQ60" s="194">
        <f>Bracket!J$2^2*(('Brackets - prob'!G59-M60)*(1+2*G60)-'Brackets - prob'!G59^2+M60^2-2*('Brackets - prob'!G59*'Brackets - freq'!G59-S60))</f>
        <v/>
      </c>
      <c r="AR60" s="192">
        <f>SUM($AL60:AL60)</f>
        <v/>
      </c>
      <c r="AS60" s="192">
        <f>SUM($AL60:AM60)</f>
        <v/>
      </c>
      <c r="AT60" s="192">
        <f>SUM($AL60:AN60)</f>
        <v/>
      </c>
      <c r="AU60" s="192">
        <f>SUM($AL60:AO60)</f>
        <v/>
      </c>
      <c r="AV60" s="192">
        <f>SUM($AL60:AP60)</f>
        <v/>
      </c>
      <c r="AW60" s="192">
        <f>SUM($AL60:AQ60)</f>
        <v/>
      </c>
      <c r="AX60" s="195">
        <f>IF(Z60=0,0,AR60/Z60)</f>
        <v/>
      </c>
      <c r="AY60" s="195">
        <f>IF(AA60=0,0,AS60/AA60)</f>
        <v/>
      </c>
      <c r="AZ60" s="195">
        <f>IF(AB60=0,0,AT60/AB60)</f>
        <v/>
      </c>
      <c r="BA60" s="195">
        <f>IF(AC60=0,0,AU60/AC60)</f>
        <v/>
      </c>
      <c r="BB60" s="195">
        <f>IF(AD60=0,0,AV60/AD60)</f>
        <v/>
      </c>
      <c r="BC60" s="195">
        <f>IF(AE60=0,0,AW60/AE60)</f>
        <v/>
      </c>
      <c r="BD60" s="196">
        <f>IF(OR(AX60=0,AX60&lt;=-1),1,0)</f>
        <v/>
      </c>
      <c r="BE60" s="196">
        <f>IF(OR(AY60=0,AY60&lt;=-1),1,0)</f>
        <v/>
      </c>
      <c r="BF60" s="196">
        <f>IF(OR(AZ60=0,AZ60&lt;=-1),1,0)</f>
        <v/>
      </c>
      <c r="BG60" s="196">
        <f>IF(OR(BA60=0,BA60&lt;=-1),1,0)</f>
        <v/>
      </c>
      <c r="BH60" s="196">
        <f>IF(OR(BB60=0,BB60&lt;=-1),1,0)</f>
        <v/>
      </c>
      <c r="BI60" s="196">
        <f>IF(OR(BC60=0,BC60&lt;=-1),1,0)</f>
        <v/>
      </c>
      <c r="BJ60" s="197">
        <f>IF(AND('Brackets - prob'!B59&gt;H60-0.5,'Brackets - freq'!B59/'Brackets - prob'!B59&lt;N60/H60^2),1,0)</f>
        <v/>
      </c>
      <c r="BK60" s="197">
        <f>IF(AND('Brackets - prob'!C59&gt;I60-0.5,'Brackets - freq'!C59/'Brackets - prob'!C59&lt;O60/I60^2),1,0)</f>
        <v/>
      </c>
      <c r="BL60" s="197">
        <f>IF(AND('Brackets - prob'!D59&gt;J60-0.5,'Brackets - freq'!D59/'Brackets - prob'!D59&lt;P60/J60^2),1,0)</f>
        <v/>
      </c>
      <c r="BM60" s="197">
        <f>IF(AND('Brackets - prob'!E59&gt;K60-0.5,'Brackets - freq'!E59/'Brackets - prob'!E59&lt;Q60/K60^2),1,0)</f>
        <v/>
      </c>
      <c r="BN60" s="197">
        <f>IF(AND('Brackets - prob'!F59&gt;L60-0.5,'Brackets - freq'!F59/'Brackets - prob'!F59&lt;R60/L60^2),1,0)</f>
        <v/>
      </c>
      <c r="BO60" s="197">
        <f>IF(AND('Brackets - prob'!G59&gt;M60-0.5,'Brackets - freq'!G59/'Brackets - prob'!G59&lt;S60/M60^2),1,0)</f>
        <v/>
      </c>
    </row>
    <row r="61">
      <c r="A61" s="41" t="inlineStr">
        <is>
          <t>Houston</t>
        </is>
      </c>
      <c r="B61" s="51">
        <f>SUMPRODUCT('Brackets - prob'!B60:B61,'Brackets - freq'!B60:B61)</f>
        <v/>
      </c>
      <c r="C61" s="51">
        <f>C60</f>
        <v/>
      </c>
      <c r="D61" s="51">
        <f>D60</f>
        <v/>
      </c>
      <c r="E61" s="51">
        <f>E60</f>
        <v/>
      </c>
      <c r="F61" s="51">
        <f>F60</f>
        <v/>
      </c>
      <c r="G61" s="51">
        <f>G60</f>
        <v/>
      </c>
      <c r="H61" s="52">
        <f>MAX('Brackets - prob'!B60:B61)</f>
        <v/>
      </c>
      <c r="I61" s="52">
        <f>I60</f>
        <v/>
      </c>
      <c r="J61" s="52">
        <f>J60</f>
        <v/>
      </c>
      <c r="K61" s="52">
        <f>K60</f>
        <v/>
      </c>
      <c r="L61" s="52">
        <f>L60</f>
        <v/>
      </c>
      <c r="M61" s="52">
        <f>M60</f>
        <v/>
      </c>
      <c r="N61" s="53">
        <f>AVERAGEIF('Brackets - prob'!B60:B61,"="&amp;H61,'Brackets - freq'!B60:B61)*H61</f>
        <v/>
      </c>
      <c r="O61" s="53">
        <f>O60</f>
        <v/>
      </c>
      <c r="P61" s="53">
        <f>P60</f>
        <v/>
      </c>
      <c r="Q61" s="53">
        <f>Q60</f>
        <v/>
      </c>
      <c r="R61" s="53">
        <f>R60</f>
        <v/>
      </c>
      <c r="S61" s="53">
        <f>S60</f>
        <v/>
      </c>
      <c r="T61" s="191">
        <f>Bracket!E$2*('Brackets - prob'!B60-H61)</f>
        <v/>
      </c>
      <c r="U61" s="191">
        <f>Bracket!F$2*('Brackets - prob'!C60-I61)</f>
        <v/>
      </c>
      <c r="V61" s="191">
        <f>Bracket!G$2*('Brackets - prob'!D60-J61)</f>
        <v/>
      </c>
      <c r="W61" s="191">
        <f>Bracket!H$2*('Brackets - prob'!E60-K61)</f>
        <v/>
      </c>
      <c r="X61" s="191">
        <f>Bracket!I$2*('Brackets - prob'!F60-L61)</f>
        <v/>
      </c>
      <c r="Y61" s="191">
        <f>Bracket!J$2*('Brackets - prob'!G60-M61)</f>
        <v/>
      </c>
      <c r="Z61" s="192">
        <f>SUM(T61:$T61)</f>
        <v/>
      </c>
      <c r="AA61" s="192">
        <f>SUM($T61:U61)</f>
        <v/>
      </c>
      <c r="AB61" s="192">
        <f>SUM($T61:V61)</f>
        <v/>
      </c>
      <c r="AC61" s="192">
        <f>SUM($T61:W61)</f>
        <v/>
      </c>
      <c r="AD61" s="192">
        <f>SUM($T61:X61)</f>
        <v/>
      </c>
      <c r="AE61" s="192">
        <f>SUM($T61:Y61)</f>
        <v/>
      </c>
      <c r="AF61" s="193">
        <f>'Brackets - prob'!B60*(1-'Brackets - prob'!B60-2*'Brackets - freq'!B60+2*B61)+B61-B61^2</f>
        <v/>
      </c>
      <c r="AG61" s="193">
        <f>'Brackets - prob'!C60*(1-'Brackets - prob'!C60-2*'Brackets - freq'!C60+2*C61)+C61-C61^2</f>
        <v/>
      </c>
      <c r="AH61" s="193">
        <f>'Brackets - prob'!D60*(1-'Brackets - prob'!D60-2*'Brackets - freq'!D60+2*D61)+D61-D61^2</f>
        <v/>
      </c>
      <c r="AI61" s="193">
        <f>'Brackets - prob'!E60*(1-'Brackets - prob'!E60-2*'Brackets - freq'!E60+2*E61)+E61-E61^2</f>
        <v/>
      </c>
      <c r="AJ61" s="193">
        <f>'Brackets - prob'!F60*(1-'Brackets - prob'!F60-2*'Brackets - freq'!F60+2*F61)+F61-F61^2</f>
        <v/>
      </c>
      <c r="AK61" s="193">
        <f>'Brackets - prob'!G60*(1-'Brackets - prob'!G60-2*'Brackets - freq'!G60+2*G61)+G61-G61^2</f>
        <v/>
      </c>
      <c r="AL61" s="194">
        <f>Bracket!E$2^2*(('Brackets - prob'!B60-H61)*(1+2*B61)-'Brackets - prob'!B60^2+H61^2-2*('Brackets - prob'!B60*'Brackets - freq'!B60-N61))</f>
        <v/>
      </c>
      <c r="AM61" s="194">
        <f>Bracket!F$2^2*(('Brackets - prob'!C60-I61)*(1+2*C61)-'Brackets - prob'!C60^2+I61^2-2*('Brackets - prob'!C60*'Brackets - freq'!C60-O61))</f>
        <v/>
      </c>
      <c r="AN61" s="194">
        <f>Bracket!G$2^2*(('Brackets - prob'!D60-J61)*(1+2*D61)-'Brackets - prob'!D60^2+J61^2-2*('Brackets - prob'!D60*'Brackets - freq'!D60-P61))</f>
        <v/>
      </c>
      <c r="AO61" s="194">
        <f>Bracket!H$2^2*(('Brackets - prob'!E60-K61)*(1+2*E61)-'Brackets - prob'!E60^2+K61^2-2*('Brackets - prob'!E60*'Brackets - freq'!E60-Q61))</f>
        <v/>
      </c>
      <c r="AP61" s="194">
        <f>Bracket!I$2^2*(('Brackets - prob'!F60-L61)*(1+2*F61)-'Brackets - prob'!F60^2+L61^2-2*('Brackets - prob'!F60*'Brackets - freq'!F60-R61))</f>
        <v/>
      </c>
      <c r="AQ61" s="194">
        <f>Bracket!J$2^2*(('Brackets - prob'!G60-M61)*(1+2*G61)-'Brackets - prob'!G60^2+M61^2-2*('Brackets - prob'!G60*'Brackets - freq'!G60-S61))</f>
        <v/>
      </c>
      <c r="AR61" s="192">
        <f>SUM($AL61:AL61)</f>
        <v/>
      </c>
      <c r="AS61" s="192">
        <f>SUM($AL61:AM61)</f>
        <v/>
      </c>
      <c r="AT61" s="192">
        <f>SUM($AL61:AN61)</f>
        <v/>
      </c>
      <c r="AU61" s="192">
        <f>SUM($AL61:AO61)</f>
        <v/>
      </c>
      <c r="AV61" s="192">
        <f>SUM($AL61:AP61)</f>
        <v/>
      </c>
      <c r="AW61" s="192">
        <f>SUM($AL61:AQ61)</f>
        <v/>
      </c>
      <c r="AX61" s="195">
        <f>IF(Z61=0,0,AR61/Z61)</f>
        <v/>
      </c>
      <c r="AY61" s="195">
        <f>IF(AA61=0,0,AS61/AA61)</f>
        <v/>
      </c>
      <c r="AZ61" s="195">
        <f>IF(AB61=0,0,AT61/AB61)</f>
        <v/>
      </c>
      <c r="BA61" s="195">
        <f>IF(AC61=0,0,AU61/AC61)</f>
        <v/>
      </c>
      <c r="BB61" s="195">
        <f>IF(AD61=0,0,AV61/AD61)</f>
        <v/>
      </c>
      <c r="BC61" s="195">
        <f>IF(AE61=0,0,AW61/AE61)</f>
        <v/>
      </c>
      <c r="BD61" s="196">
        <f>IF(OR(AX61=0,AX61&lt;=-1),1,0)</f>
        <v/>
      </c>
      <c r="BE61" s="196">
        <f>IF(OR(AY61=0,AY61&lt;=-1),1,0)</f>
        <v/>
      </c>
      <c r="BF61" s="196">
        <f>IF(OR(AZ61=0,AZ61&lt;=-1),1,0)</f>
        <v/>
      </c>
      <c r="BG61" s="196">
        <f>IF(OR(BA61=0,BA61&lt;=-1),1,0)</f>
        <v/>
      </c>
      <c r="BH61" s="196">
        <f>IF(OR(BB61=0,BB61&lt;=-1),1,0)</f>
        <v/>
      </c>
      <c r="BI61" s="196">
        <f>IF(OR(BC61=0,BC61&lt;=-1),1,0)</f>
        <v/>
      </c>
      <c r="BJ61" s="197">
        <f>IF(AND('Brackets - prob'!B60&gt;H61-0.5,'Brackets - freq'!B60/'Brackets - prob'!B60&lt;N61/H61^2),1,0)</f>
        <v/>
      </c>
      <c r="BK61" s="197">
        <f>IF(AND('Brackets - prob'!C60&gt;I61-0.5,'Brackets - freq'!C60/'Brackets - prob'!C60&lt;O61/I61^2),1,0)</f>
        <v/>
      </c>
      <c r="BL61" s="197">
        <f>IF(AND('Brackets - prob'!D60&gt;J61-0.5,'Brackets - freq'!D60/'Brackets - prob'!D60&lt;P61/J61^2),1,0)</f>
        <v/>
      </c>
      <c r="BM61" s="197">
        <f>IF(AND('Brackets - prob'!E60&gt;K61-0.5,'Brackets - freq'!E60/'Brackets - prob'!E60&lt;Q61/K61^2),1,0)</f>
        <v/>
      </c>
      <c r="BN61" s="197">
        <f>IF(AND('Brackets - prob'!F60&gt;L61-0.5,'Brackets - freq'!F60/'Brackets - prob'!F60&lt;R61/L61^2),1,0)</f>
        <v/>
      </c>
      <c r="BO61" s="197">
        <f>IF(AND('Brackets - prob'!G60&gt;M61-0.5,'Brackets - freq'!G60/'Brackets - prob'!G60&lt;S61/M61^2),1,0)</f>
        <v/>
      </c>
    </row>
    <row r="62">
      <c r="A62" s="41" t="inlineStr">
        <is>
          <t>Georgia State</t>
        </is>
      </c>
      <c r="B62" s="51">
        <f>B61</f>
        <v/>
      </c>
      <c r="C62" s="51">
        <f>C61</f>
        <v/>
      </c>
      <c r="D62" s="51">
        <f>D61</f>
        <v/>
      </c>
      <c r="E62" s="51">
        <f>E61</f>
        <v/>
      </c>
      <c r="F62" s="51">
        <f>F61</f>
        <v/>
      </c>
      <c r="G62" s="51">
        <f>G61</f>
        <v/>
      </c>
      <c r="H62" s="52">
        <f>H61</f>
        <v/>
      </c>
      <c r="I62" s="52">
        <f>I61</f>
        <v/>
      </c>
      <c r="J62" s="52">
        <f>J61</f>
        <v/>
      </c>
      <c r="K62" s="52">
        <f>K61</f>
        <v/>
      </c>
      <c r="L62" s="52">
        <f>L61</f>
        <v/>
      </c>
      <c r="M62" s="52">
        <f>M61</f>
        <v/>
      </c>
      <c r="N62" s="53">
        <f>N61</f>
        <v/>
      </c>
      <c r="O62" s="53">
        <f>O61</f>
        <v/>
      </c>
      <c r="P62" s="53">
        <f>P61</f>
        <v/>
      </c>
      <c r="Q62" s="53">
        <f>Q61</f>
        <v/>
      </c>
      <c r="R62" s="53">
        <f>R61</f>
        <v/>
      </c>
      <c r="S62" s="53">
        <f>S61</f>
        <v/>
      </c>
      <c r="T62" s="191">
        <f>Bracket!E$2*('Brackets - prob'!B61-H62)</f>
        <v/>
      </c>
      <c r="U62" s="191">
        <f>Bracket!F$2*('Brackets - prob'!C61-I62)</f>
        <v/>
      </c>
      <c r="V62" s="191">
        <f>Bracket!G$2*('Brackets - prob'!D61-J62)</f>
        <v/>
      </c>
      <c r="W62" s="191">
        <f>Bracket!H$2*('Brackets - prob'!E61-K62)</f>
        <v/>
      </c>
      <c r="X62" s="191">
        <f>Bracket!I$2*('Brackets - prob'!F61-L62)</f>
        <v/>
      </c>
      <c r="Y62" s="191">
        <f>Bracket!J$2*('Brackets - prob'!G61-M62)</f>
        <v/>
      </c>
      <c r="Z62" s="192">
        <f>SUM(T62:$T62)</f>
        <v/>
      </c>
      <c r="AA62" s="192">
        <f>SUM($T62:U62)</f>
        <v/>
      </c>
      <c r="AB62" s="192">
        <f>SUM($T62:V62)</f>
        <v/>
      </c>
      <c r="AC62" s="192">
        <f>SUM($T62:W62)</f>
        <v/>
      </c>
      <c r="AD62" s="192">
        <f>SUM($T62:X62)</f>
        <v/>
      </c>
      <c r="AE62" s="192">
        <f>SUM($T62:Y62)</f>
        <v/>
      </c>
      <c r="AF62" s="193">
        <f>'Brackets - prob'!B61*(1-'Brackets - prob'!B61-2*'Brackets - freq'!B61+2*B62)+B62-B62^2</f>
        <v/>
      </c>
      <c r="AG62" s="193">
        <f>'Brackets - prob'!C61*(1-'Brackets - prob'!C61-2*'Brackets - freq'!C61+2*C62)+C62-C62^2</f>
        <v/>
      </c>
      <c r="AH62" s="193">
        <f>'Brackets - prob'!D61*(1-'Brackets - prob'!D61-2*'Brackets - freq'!D61+2*D62)+D62-D62^2</f>
        <v/>
      </c>
      <c r="AI62" s="193">
        <f>'Brackets - prob'!E61*(1-'Brackets - prob'!E61-2*'Brackets - freq'!E61+2*E62)+E62-E62^2</f>
        <v/>
      </c>
      <c r="AJ62" s="193">
        <f>'Brackets - prob'!F61*(1-'Brackets - prob'!F61-2*'Brackets - freq'!F61+2*F62)+F62-F62^2</f>
        <v/>
      </c>
      <c r="AK62" s="193">
        <f>'Brackets - prob'!G61*(1-'Brackets - prob'!G61-2*'Brackets - freq'!G61+2*G62)+G62-G62^2</f>
        <v/>
      </c>
      <c r="AL62" s="194">
        <f>Bracket!E$2^2*(('Brackets - prob'!B61-H62)*(1+2*B62)-'Brackets - prob'!B61^2+H62^2-2*('Brackets - prob'!B61*'Brackets - freq'!B61-N62))</f>
        <v/>
      </c>
      <c r="AM62" s="194">
        <f>Bracket!F$2^2*(('Brackets - prob'!C61-I62)*(1+2*C62)-'Brackets - prob'!C61^2+I62^2-2*('Brackets - prob'!C61*'Brackets - freq'!C61-O62))</f>
        <v/>
      </c>
      <c r="AN62" s="194">
        <f>Bracket!G$2^2*(('Brackets - prob'!D61-J62)*(1+2*D62)-'Brackets - prob'!D61^2+J62^2-2*('Brackets - prob'!D61*'Brackets - freq'!D61-P62))</f>
        <v/>
      </c>
      <c r="AO62" s="194">
        <f>Bracket!H$2^2*(('Brackets - prob'!E61-K62)*(1+2*E62)-'Brackets - prob'!E61^2+K62^2-2*('Brackets - prob'!E61*'Brackets - freq'!E61-Q62))</f>
        <v/>
      </c>
      <c r="AP62" s="194">
        <f>Bracket!I$2^2*(('Brackets - prob'!F61-L62)*(1+2*F62)-'Brackets - prob'!F61^2+L62^2-2*('Brackets - prob'!F61*'Brackets - freq'!F61-R62))</f>
        <v/>
      </c>
      <c r="AQ62" s="194">
        <f>Bracket!J$2^2*(('Brackets - prob'!G61-M62)*(1+2*G62)-'Brackets - prob'!G61^2+M62^2-2*('Brackets - prob'!G61*'Brackets - freq'!G61-S62))</f>
        <v/>
      </c>
      <c r="AR62" s="192">
        <f>SUM($AL62:AL62)</f>
        <v/>
      </c>
      <c r="AS62" s="192">
        <f>SUM($AL62:AM62)</f>
        <v/>
      </c>
      <c r="AT62" s="192">
        <f>SUM($AL62:AN62)</f>
        <v/>
      </c>
      <c r="AU62" s="192">
        <f>SUM($AL62:AO62)</f>
        <v/>
      </c>
      <c r="AV62" s="192">
        <f>SUM($AL62:AP62)</f>
        <v/>
      </c>
      <c r="AW62" s="192">
        <f>SUM($AL62:AQ62)</f>
        <v/>
      </c>
      <c r="AX62" s="195">
        <f>IF(Z62=0,0,AR62/Z62)</f>
        <v/>
      </c>
      <c r="AY62" s="195">
        <f>IF(AA62=0,0,AS62/AA62)</f>
        <v/>
      </c>
      <c r="AZ62" s="195">
        <f>IF(AB62=0,0,AT62/AB62)</f>
        <v/>
      </c>
      <c r="BA62" s="195">
        <f>IF(AC62=0,0,AU62/AC62)</f>
        <v/>
      </c>
      <c r="BB62" s="195">
        <f>IF(AD62=0,0,AV62/AD62)</f>
        <v/>
      </c>
      <c r="BC62" s="195">
        <f>IF(AE62=0,0,AW62/AE62)</f>
        <v/>
      </c>
      <c r="BD62" s="196">
        <f>IF(OR(AX62=0,AX62&lt;=-1),1,0)</f>
        <v/>
      </c>
      <c r="BE62" s="196">
        <f>IF(OR(AY62=0,AY62&lt;=-1),1,0)</f>
        <v/>
      </c>
      <c r="BF62" s="196">
        <f>IF(OR(AZ62=0,AZ62&lt;=-1),1,0)</f>
        <v/>
      </c>
      <c r="BG62" s="196">
        <f>IF(OR(BA62=0,BA62&lt;=-1),1,0)</f>
        <v/>
      </c>
      <c r="BH62" s="196">
        <f>IF(OR(BB62=0,BB62&lt;=-1),1,0)</f>
        <v/>
      </c>
      <c r="BI62" s="196">
        <f>IF(OR(BC62=0,BC62&lt;=-1),1,0)</f>
        <v/>
      </c>
      <c r="BJ62" s="197">
        <f>IF(AND('Brackets - prob'!B61&gt;H62-0.5,'Brackets - freq'!B61/'Brackets - prob'!B61&lt;N62/H62^2),1,0)</f>
        <v/>
      </c>
      <c r="BK62" s="197">
        <f>IF(AND('Brackets - prob'!C61&gt;I62-0.5,'Brackets - freq'!C61/'Brackets - prob'!C61&lt;O62/I62^2),1,0)</f>
        <v/>
      </c>
      <c r="BL62" s="197">
        <f>IF(AND('Brackets - prob'!D61&gt;J62-0.5,'Brackets - freq'!D61/'Brackets - prob'!D61&lt;P62/J62^2),1,0)</f>
        <v/>
      </c>
      <c r="BM62" s="197">
        <f>IF(AND('Brackets - prob'!E61&gt;K62-0.5,'Brackets - freq'!E61/'Brackets - prob'!E61&lt;Q62/K62^2),1,0)</f>
        <v/>
      </c>
      <c r="BN62" s="197">
        <f>IF(AND('Brackets - prob'!F61&gt;L62-0.5,'Brackets - freq'!F61/'Brackets - prob'!F61&lt;R62/L62^2),1,0)</f>
        <v/>
      </c>
      <c r="BO62" s="197">
        <f>IF(AND('Brackets - prob'!G61&gt;M62-0.5,'Brackets - freq'!G61/'Brackets - prob'!G61&lt;S62/M62^2),1,0)</f>
        <v/>
      </c>
    </row>
    <row r="63">
      <c r="A63" s="41" t="inlineStr">
        <is>
          <t>Wofford</t>
        </is>
      </c>
      <c r="B63" s="51">
        <f>SUMPRODUCT('Brackets - prob'!B62:B63,'Brackets - freq'!B62:B63)</f>
        <v/>
      </c>
      <c r="C63" s="51">
        <f>SUMPRODUCT('Brackets - prob'!C62:C65,'Brackets - freq'!C62:C65)</f>
        <v/>
      </c>
      <c r="D63" s="51">
        <f>D62</f>
        <v/>
      </c>
      <c r="E63" s="51">
        <f>E62</f>
        <v/>
      </c>
      <c r="F63" s="51">
        <f>F62</f>
        <v/>
      </c>
      <c r="G63" s="51">
        <f>G62</f>
        <v/>
      </c>
      <c r="H63" s="52">
        <f>MAX('Brackets - prob'!B62:B63)</f>
        <v/>
      </c>
      <c r="I63" s="52">
        <f>MAX('Brackets - prob'!C62:C65)</f>
        <v/>
      </c>
      <c r="J63" s="52">
        <f>J62</f>
        <v/>
      </c>
      <c r="K63" s="52">
        <f>K62</f>
        <v/>
      </c>
      <c r="L63" s="52">
        <f>L62</f>
        <v/>
      </c>
      <c r="M63" s="52">
        <f>M62</f>
        <v/>
      </c>
      <c r="N63" s="53">
        <f>AVERAGEIF('Brackets - prob'!B62:B63,"="&amp;H63,'Brackets - freq'!B62:B63)*H63</f>
        <v/>
      </c>
      <c r="O63" s="53">
        <f>AVERAGEIF('Brackets - prob'!C62:C65,"="&amp;I63,'Brackets - freq'!C62:C65)*I63</f>
        <v/>
      </c>
      <c r="P63" s="53">
        <f>P62</f>
        <v/>
      </c>
      <c r="Q63" s="53">
        <f>Q62</f>
        <v/>
      </c>
      <c r="R63" s="53">
        <f>R62</f>
        <v/>
      </c>
      <c r="S63" s="53">
        <f>S62</f>
        <v/>
      </c>
      <c r="T63" s="191">
        <f>Bracket!E$2*('Brackets - prob'!B62-H63)</f>
        <v/>
      </c>
      <c r="U63" s="191">
        <f>Bracket!F$2*('Brackets - prob'!C62-I63)</f>
        <v/>
      </c>
      <c r="V63" s="191">
        <f>Bracket!G$2*('Brackets - prob'!D62-J63)</f>
        <v/>
      </c>
      <c r="W63" s="191">
        <f>Bracket!H$2*('Brackets - prob'!E62-K63)</f>
        <v/>
      </c>
      <c r="X63" s="191">
        <f>Bracket!I$2*('Brackets - prob'!F62-L63)</f>
        <v/>
      </c>
      <c r="Y63" s="191">
        <f>Bracket!J$2*('Brackets - prob'!G62-M63)</f>
        <v/>
      </c>
      <c r="Z63" s="192">
        <f>SUM(T63:$T63)</f>
        <v/>
      </c>
      <c r="AA63" s="192">
        <f>SUM($T63:U63)</f>
        <v/>
      </c>
      <c r="AB63" s="192">
        <f>SUM($T63:V63)</f>
        <v/>
      </c>
      <c r="AC63" s="192">
        <f>SUM($T63:W63)</f>
        <v/>
      </c>
      <c r="AD63" s="192">
        <f>SUM($T63:X63)</f>
        <v/>
      </c>
      <c r="AE63" s="192">
        <f>SUM($T63:Y63)</f>
        <v/>
      </c>
      <c r="AF63" s="193">
        <f>'Brackets - prob'!B62*(1-'Brackets - prob'!B62-2*'Brackets - freq'!B62+2*B63)+B63-B63^2</f>
        <v/>
      </c>
      <c r="AG63" s="193">
        <f>'Brackets - prob'!C62*(1-'Brackets - prob'!C62-2*'Brackets - freq'!C62+2*C63)+C63-C63^2</f>
        <v/>
      </c>
      <c r="AH63" s="193">
        <f>'Brackets - prob'!D62*(1-'Brackets - prob'!D62-2*'Brackets - freq'!D62+2*D63)+D63-D63^2</f>
        <v/>
      </c>
      <c r="AI63" s="193">
        <f>'Brackets - prob'!E62*(1-'Brackets - prob'!E62-2*'Brackets - freq'!E62+2*E63)+E63-E63^2</f>
        <v/>
      </c>
      <c r="AJ63" s="193">
        <f>'Brackets - prob'!F62*(1-'Brackets - prob'!F62-2*'Brackets - freq'!F62+2*F63)+F63-F63^2</f>
        <v/>
      </c>
      <c r="AK63" s="193">
        <f>'Brackets - prob'!G62*(1-'Brackets - prob'!G62-2*'Brackets - freq'!G62+2*G63)+G63-G63^2</f>
        <v/>
      </c>
      <c r="AL63" s="194">
        <f>Bracket!E$2^2*(('Brackets - prob'!B62-H63)*(1+2*B63)-'Brackets - prob'!B62^2+H63^2-2*('Brackets - prob'!B62*'Brackets - freq'!B62-N63))</f>
        <v/>
      </c>
      <c r="AM63" s="194">
        <f>Bracket!F$2^2*(('Brackets - prob'!C62-I63)*(1+2*C63)-'Brackets - prob'!C62^2+I63^2-2*('Brackets - prob'!C62*'Brackets - freq'!C62-O63))</f>
        <v/>
      </c>
      <c r="AN63" s="194">
        <f>Bracket!G$2^2*(('Brackets - prob'!D62-J63)*(1+2*D63)-'Brackets - prob'!D62^2+J63^2-2*('Brackets - prob'!D62*'Brackets - freq'!D62-P63))</f>
        <v/>
      </c>
      <c r="AO63" s="194">
        <f>Bracket!H$2^2*(('Brackets - prob'!E62-K63)*(1+2*E63)-'Brackets - prob'!E62^2+K63^2-2*('Brackets - prob'!E62*'Brackets - freq'!E62-Q63))</f>
        <v/>
      </c>
      <c r="AP63" s="194">
        <f>Bracket!I$2^2*(('Brackets - prob'!F62-L63)*(1+2*F63)-'Brackets - prob'!F62^2+L63^2-2*('Brackets - prob'!F62*'Brackets - freq'!F62-R63))</f>
        <v/>
      </c>
      <c r="AQ63" s="194">
        <f>Bracket!J$2^2*(('Brackets - prob'!G62-M63)*(1+2*G63)-'Brackets - prob'!G62^2+M63^2-2*('Brackets - prob'!G62*'Brackets - freq'!G62-S63))</f>
        <v/>
      </c>
      <c r="AR63" s="192">
        <f>SUM($AL63:AL63)</f>
        <v/>
      </c>
      <c r="AS63" s="192">
        <f>SUM($AL63:AM63)</f>
        <v/>
      </c>
      <c r="AT63" s="192">
        <f>SUM($AL63:AN63)</f>
        <v/>
      </c>
      <c r="AU63" s="192">
        <f>SUM($AL63:AO63)</f>
        <v/>
      </c>
      <c r="AV63" s="192">
        <f>SUM($AL63:AP63)</f>
        <v/>
      </c>
      <c r="AW63" s="192">
        <f>SUM($AL63:AQ63)</f>
        <v/>
      </c>
      <c r="AX63" s="195">
        <f>IF(Z63=0,0,AR63/Z63)</f>
        <v/>
      </c>
      <c r="AY63" s="195">
        <f>IF(AA63=0,0,AS63/AA63)</f>
        <v/>
      </c>
      <c r="AZ63" s="195">
        <f>IF(AB63=0,0,AT63/AB63)</f>
        <v/>
      </c>
      <c r="BA63" s="195">
        <f>IF(AC63=0,0,AU63/AC63)</f>
        <v/>
      </c>
      <c r="BB63" s="195">
        <f>IF(AD63=0,0,AV63/AD63)</f>
        <v/>
      </c>
      <c r="BC63" s="195">
        <f>IF(AE63=0,0,AW63/AE63)</f>
        <v/>
      </c>
      <c r="BD63" s="196">
        <f>IF(OR(AX63=0,AX63&lt;=-1),1,0)</f>
        <v/>
      </c>
      <c r="BE63" s="196">
        <f>IF(OR(AY63=0,AY63&lt;=-1),1,0)</f>
        <v/>
      </c>
      <c r="BF63" s="196">
        <f>IF(OR(AZ63=0,AZ63&lt;=-1),1,0)</f>
        <v/>
      </c>
      <c r="BG63" s="196">
        <f>IF(OR(BA63=0,BA63&lt;=-1),1,0)</f>
        <v/>
      </c>
      <c r="BH63" s="196">
        <f>IF(OR(BB63=0,BB63&lt;=-1),1,0)</f>
        <v/>
      </c>
      <c r="BI63" s="196">
        <f>IF(OR(BC63=0,BC63&lt;=-1),1,0)</f>
        <v/>
      </c>
      <c r="BJ63" s="197">
        <f>IF(AND('Brackets - prob'!B62&gt;H63-0.5,'Brackets - freq'!B62/'Brackets - prob'!B62&lt;N63/H63^2),1,0)</f>
        <v/>
      </c>
      <c r="BK63" s="197">
        <f>IF(AND('Brackets - prob'!C62&gt;I63-0.5,'Brackets - freq'!C62/'Brackets - prob'!C62&lt;O63/I63^2),1,0)</f>
        <v/>
      </c>
      <c r="BL63" s="197">
        <f>IF(AND('Brackets - prob'!D62&gt;J63-0.5,'Brackets - freq'!D62/'Brackets - prob'!D62&lt;P63/J63^2),1,0)</f>
        <v/>
      </c>
      <c r="BM63" s="197">
        <f>IF(AND('Brackets - prob'!E62&gt;K63-0.5,'Brackets - freq'!E62/'Brackets - prob'!E62&lt;Q63/K63^2),1,0)</f>
        <v/>
      </c>
      <c r="BN63" s="197">
        <f>IF(AND('Brackets - prob'!F62&gt;L63-0.5,'Brackets - freq'!F62/'Brackets - prob'!F62&lt;R63/L63^2),1,0)</f>
        <v/>
      </c>
      <c r="BO63" s="197">
        <f>IF(AND('Brackets - prob'!G62&gt;M63-0.5,'Brackets - freq'!G62/'Brackets - prob'!G62&lt;S63/M63^2),1,0)</f>
        <v/>
      </c>
    </row>
    <row r="64">
      <c r="A64" s="41" t="inlineStr">
        <is>
          <t>Seton Hall</t>
        </is>
      </c>
      <c r="B64" s="51">
        <f>B63</f>
        <v/>
      </c>
      <c r="C64" s="51">
        <f>C63</f>
        <v/>
      </c>
      <c r="D64" s="51">
        <f>D63</f>
        <v/>
      </c>
      <c r="E64" s="51">
        <f>E63</f>
        <v/>
      </c>
      <c r="F64" s="51">
        <f>F63</f>
        <v/>
      </c>
      <c r="G64" s="51">
        <f>G63</f>
        <v/>
      </c>
      <c r="H64" s="52">
        <f>H63</f>
        <v/>
      </c>
      <c r="I64" s="52">
        <f>I63</f>
        <v/>
      </c>
      <c r="J64" s="52">
        <f>J63</f>
        <v/>
      </c>
      <c r="K64" s="52">
        <f>K63</f>
        <v/>
      </c>
      <c r="L64" s="52">
        <f>L63</f>
        <v/>
      </c>
      <c r="M64" s="52">
        <f>M63</f>
        <v/>
      </c>
      <c r="N64" s="53">
        <f>N63</f>
        <v/>
      </c>
      <c r="O64" s="53">
        <f>O63</f>
        <v/>
      </c>
      <c r="P64" s="53">
        <f>P63</f>
        <v/>
      </c>
      <c r="Q64" s="53">
        <f>Q63</f>
        <v/>
      </c>
      <c r="R64" s="53">
        <f>R63</f>
        <v/>
      </c>
      <c r="S64" s="53">
        <f>S63</f>
        <v/>
      </c>
      <c r="T64" s="191">
        <f>Bracket!E$2*('Brackets - prob'!B63-H64)</f>
        <v/>
      </c>
      <c r="U64" s="191">
        <f>Bracket!F$2*('Brackets - prob'!C63-I64)</f>
        <v/>
      </c>
      <c r="V64" s="191">
        <f>Bracket!G$2*('Brackets - prob'!D63-J64)</f>
        <v/>
      </c>
      <c r="W64" s="191">
        <f>Bracket!H$2*('Brackets - prob'!E63-K64)</f>
        <v/>
      </c>
      <c r="X64" s="191">
        <f>Bracket!I$2*('Brackets - prob'!F63-L64)</f>
        <v/>
      </c>
      <c r="Y64" s="191">
        <f>Bracket!J$2*('Brackets - prob'!G63-M64)</f>
        <v/>
      </c>
      <c r="Z64" s="192">
        <f>SUM(T64:$T64)</f>
        <v/>
      </c>
      <c r="AA64" s="192">
        <f>SUM($T64:U64)</f>
        <v/>
      </c>
      <c r="AB64" s="192">
        <f>SUM($T64:V64)</f>
        <v/>
      </c>
      <c r="AC64" s="192">
        <f>SUM($T64:W64)</f>
        <v/>
      </c>
      <c r="AD64" s="192">
        <f>SUM($T64:X64)</f>
        <v/>
      </c>
      <c r="AE64" s="192">
        <f>SUM($T64:Y64)</f>
        <v/>
      </c>
      <c r="AF64" s="193">
        <f>'Brackets - prob'!B63*(1-'Brackets - prob'!B63-2*'Brackets - freq'!B63+2*B64)+B64-B64^2</f>
        <v/>
      </c>
      <c r="AG64" s="193">
        <f>'Brackets - prob'!C63*(1-'Brackets - prob'!C63-2*'Brackets - freq'!C63+2*C64)+C64-C64^2</f>
        <v/>
      </c>
      <c r="AH64" s="193">
        <f>'Brackets - prob'!D63*(1-'Brackets - prob'!D63-2*'Brackets - freq'!D63+2*D64)+D64-D64^2</f>
        <v/>
      </c>
      <c r="AI64" s="193">
        <f>'Brackets - prob'!E63*(1-'Brackets - prob'!E63-2*'Brackets - freq'!E63+2*E64)+E64-E64^2</f>
        <v/>
      </c>
      <c r="AJ64" s="193">
        <f>'Brackets - prob'!F63*(1-'Brackets - prob'!F63-2*'Brackets - freq'!F63+2*F64)+F64-F64^2</f>
        <v/>
      </c>
      <c r="AK64" s="193">
        <f>'Brackets - prob'!G63*(1-'Brackets - prob'!G63-2*'Brackets - freq'!G63+2*G64)+G64-G64^2</f>
        <v/>
      </c>
      <c r="AL64" s="194">
        <f>Bracket!E$2^2*(('Brackets - prob'!B63-H64)*(1+2*B64)-'Brackets - prob'!B63^2+H64^2-2*('Brackets - prob'!B63*'Brackets - freq'!B63-N64))</f>
        <v/>
      </c>
      <c r="AM64" s="194">
        <f>Bracket!F$2^2*(('Brackets - prob'!C63-I64)*(1+2*C64)-'Brackets - prob'!C63^2+I64^2-2*('Brackets - prob'!C63*'Brackets - freq'!C63-O64))</f>
        <v/>
      </c>
      <c r="AN64" s="194">
        <f>Bracket!G$2^2*(('Brackets - prob'!D63-J64)*(1+2*D64)-'Brackets - prob'!D63^2+J64^2-2*('Brackets - prob'!D63*'Brackets - freq'!D63-P64))</f>
        <v/>
      </c>
      <c r="AO64" s="194">
        <f>Bracket!H$2^2*(('Brackets - prob'!E63-K64)*(1+2*E64)-'Brackets - prob'!E63^2+K64^2-2*('Brackets - prob'!E63*'Brackets - freq'!E63-Q64))</f>
        <v/>
      </c>
      <c r="AP64" s="194">
        <f>Bracket!I$2^2*(('Brackets - prob'!F63-L64)*(1+2*F64)-'Brackets - prob'!F63^2+L64^2-2*('Brackets - prob'!F63*'Brackets - freq'!F63-R64))</f>
        <v/>
      </c>
      <c r="AQ64" s="194">
        <f>Bracket!J$2^2*(('Brackets - prob'!G63-M64)*(1+2*G64)-'Brackets - prob'!G63^2+M64^2-2*('Brackets - prob'!G63*'Brackets - freq'!G63-S64))</f>
        <v/>
      </c>
      <c r="AR64" s="192">
        <f>SUM($AL64:AL64)</f>
        <v/>
      </c>
      <c r="AS64" s="192">
        <f>SUM($AL64:AM64)</f>
        <v/>
      </c>
      <c r="AT64" s="192">
        <f>SUM($AL64:AN64)</f>
        <v/>
      </c>
      <c r="AU64" s="192">
        <f>SUM($AL64:AO64)</f>
        <v/>
      </c>
      <c r="AV64" s="192">
        <f>SUM($AL64:AP64)</f>
        <v/>
      </c>
      <c r="AW64" s="192">
        <f>SUM($AL64:AQ64)</f>
        <v/>
      </c>
      <c r="AX64" s="195">
        <f>IF(Z64=0,0,AR64/Z64)</f>
        <v/>
      </c>
      <c r="AY64" s="195">
        <f>IF(AA64=0,0,AS64/AA64)</f>
        <v/>
      </c>
      <c r="AZ64" s="195">
        <f>IF(AB64=0,0,AT64/AB64)</f>
        <v/>
      </c>
      <c r="BA64" s="195">
        <f>IF(AC64=0,0,AU64/AC64)</f>
        <v/>
      </c>
      <c r="BB64" s="195">
        <f>IF(AD64=0,0,AV64/AD64)</f>
        <v/>
      </c>
      <c r="BC64" s="195">
        <f>IF(AE64=0,0,AW64/AE64)</f>
        <v/>
      </c>
      <c r="BD64" s="196">
        <f>IF(OR(AX64=0,AX64&lt;=-1),1,0)</f>
        <v/>
      </c>
      <c r="BE64" s="196">
        <f>IF(OR(AY64=0,AY64&lt;=-1),1,0)</f>
        <v/>
      </c>
      <c r="BF64" s="196">
        <f>IF(OR(AZ64=0,AZ64&lt;=-1),1,0)</f>
        <v/>
      </c>
      <c r="BG64" s="196">
        <f>IF(OR(BA64=0,BA64&lt;=-1),1,0)</f>
        <v/>
      </c>
      <c r="BH64" s="196">
        <f>IF(OR(BB64=0,BB64&lt;=-1),1,0)</f>
        <v/>
      </c>
      <c r="BI64" s="196">
        <f>IF(OR(BC64=0,BC64&lt;=-1),1,0)</f>
        <v/>
      </c>
      <c r="BJ64" s="197">
        <f>IF(AND('Brackets - prob'!B63&gt;H64-0.5,'Brackets - freq'!B63/'Brackets - prob'!B63&lt;N64/H64^2),1,0)</f>
        <v/>
      </c>
      <c r="BK64" s="197">
        <f>IF(AND('Brackets - prob'!C63&gt;I64-0.5,'Brackets - freq'!C63/'Brackets - prob'!C63&lt;O64/I64^2),1,0)</f>
        <v/>
      </c>
      <c r="BL64" s="197">
        <f>IF(AND('Brackets - prob'!D63&gt;J64-0.5,'Brackets - freq'!D63/'Brackets - prob'!D63&lt;P64/J64^2),1,0)</f>
        <v/>
      </c>
      <c r="BM64" s="197">
        <f>IF(AND('Brackets - prob'!E63&gt;K64-0.5,'Brackets - freq'!E63/'Brackets - prob'!E63&lt;Q64/K64^2),1,0)</f>
        <v/>
      </c>
      <c r="BN64" s="197">
        <f>IF(AND('Brackets - prob'!F63&gt;L64-0.5,'Brackets - freq'!F63/'Brackets - prob'!F63&lt;R64/L64^2),1,0)</f>
        <v/>
      </c>
      <c r="BO64" s="197">
        <f>IF(AND('Brackets - prob'!G63&gt;M64-0.5,'Brackets - freq'!G63/'Brackets - prob'!G63&lt;S64/M64^2),1,0)</f>
        <v/>
      </c>
    </row>
    <row r="65">
      <c r="A65" s="41" t="inlineStr">
        <is>
          <t>Kentucky</t>
        </is>
      </c>
      <c r="B65" s="51">
        <f>SUMPRODUCT('Brackets - prob'!B64:B65,'Brackets - freq'!B64:B65)</f>
        <v/>
      </c>
      <c r="C65" s="51">
        <f>C64</f>
        <v/>
      </c>
      <c r="D65" s="51">
        <f>D64</f>
        <v/>
      </c>
      <c r="E65" s="51">
        <f>E64</f>
        <v/>
      </c>
      <c r="F65" s="51">
        <f>F64</f>
        <v/>
      </c>
      <c r="G65" s="51">
        <f>G64</f>
        <v/>
      </c>
      <c r="H65" s="52">
        <f>MAX('Brackets - prob'!B64:B65)</f>
        <v/>
      </c>
      <c r="I65" s="52">
        <f>I64</f>
        <v/>
      </c>
      <c r="J65" s="52">
        <f>J64</f>
        <v/>
      </c>
      <c r="K65" s="52">
        <f>K64</f>
        <v/>
      </c>
      <c r="L65" s="52">
        <f>L64</f>
        <v/>
      </c>
      <c r="M65" s="52">
        <f>M64</f>
        <v/>
      </c>
      <c r="N65" s="53">
        <f>AVERAGEIF('Brackets - prob'!B64:B65,"="&amp;H65,'Brackets - freq'!B64:B65)*H65</f>
        <v/>
      </c>
      <c r="O65" s="53">
        <f>O64</f>
        <v/>
      </c>
      <c r="P65" s="53">
        <f>P64</f>
        <v/>
      </c>
      <c r="Q65" s="53">
        <f>Q64</f>
        <v/>
      </c>
      <c r="R65" s="53">
        <f>R64</f>
        <v/>
      </c>
      <c r="S65" s="53">
        <f>S64</f>
        <v/>
      </c>
      <c r="T65" s="191">
        <f>Bracket!E$2*('Brackets - prob'!B64-H65)</f>
        <v/>
      </c>
      <c r="U65" s="191">
        <f>Bracket!F$2*('Brackets - prob'!C64-I65)</f>
        <v/>
      </c>
      <c r="V65" s="191">
        <f>Bracket!G$2*('Brackets - prob'!D64-J65)</f>
        <v/>
      </c>
      <c r="W65" s="191">
        <f>Bracket!H$2*('Brackets - prob'!E64-K65)</f>
        <v/>
      </c>
      <c r="X65" s="191">
        <f>Bracket!I$2*('Brackets - prob'!F64-L65)</f>
        <v/>
      </c>
      <c r="Y65" s="191">
        <f>Bracket!J$2*('Brackets - prob'!G64-M65)</f>
        <v/>
      </c>
      <c r="Z65" s="192">
        <f>SUM(T65:$T65)</f>
        <v/>
      </c>
      <c r="AA65" s="192">
        <f>SUM($T65:U65)</f>
        <v/>
      </c>
      <c r="AB65" s="192">
        <f>SUM($T65:V65)</f>
        <v/>
      </c>
      <c r="AC65" s="192">
        <f>SUM($T65:W65)</f>
        <v/>
      </c>
      <c r="AD65" s="192">
        <f>SUM($T65:X65)</f>
        <v/>
      </c>
      <c r="AE65" s="192">
        <f>SUM($T65:Y65)</f>
        <v/>
      </c>
      <c r="AF65" s="193">
        <f>'Brackets - prob'!B64*(1-'Brackets - prob'!B64-2*'Brackets - freq'!B64+2*B65)+B65-B65^2</f>
        <v/>
      </c>
      <c r="AG65" s="193">
        <f>'Brackets - prob'!C64*(1-'Brackets - prob'!C64-2*'Brackets - freq'!C64+2*C65)+C65-C65^2</f>
        <v/>
      </c>
      <c r="AH65" s="193">
        <f>'Brackets - prob'!D64*(1-'Brackets - prob'!D64-2*'Brackets - freq'!D64+2*D65)+D65-D65^2</f>
        <v/>
      </c>
      <c r="AI65" s="193">
        <f>'Brackets - prob'!E64*(1-'Brackets - prob'!E64-2*'Brackets - freq'!E64+2*E65)+E65-E65^2</f>
        <v/>
      </c>
      <c r="AJ65" s="193">
        <f>'Brackets - prob'!F64*(1-'Brackets - prob'!F64-2*'Brackets - freq'!F64+2*F65)+F65-F65^2</f>
        <v/>
      </c>
      <c r="AK65" s="193">
        <f>'Brackets - prob'!G64*(1-'Brackets - prob'!G64-2*'Brackets - freq'!G64+2*G65)+G65-G65^2</f>
        <v/>
      </c>
      <c r="AL65" s="194">
        <f>Bracket!E$2^2*(('Brackets - prob'!B64-H65)*(1+2*B65)-'Brackets - prob'!B64^2+H65^2-2*('Brackets - prob'!B64*'Brackets - freq'!B64-N65))</f>
        <v/>
      </c>
      <c r="AM65" s="194">
        <f>Bracket!F$2^2*(('Brackets - prob'!C64-I65)*(1+2*C65)-'Brackets - prob'!C64^2+I65^2-2*('Brackets - prob'!C64*'Brackets - freq'!C64-O65))</f>
        <v/>
      </c>
      <c r="AN65" s="194">
        <f>Bracket!G$2^2*(('Brackets - prob'!D64-J65)*(1+2*D65)-'Brackets - prob'!D64^2+J65^2-2*('Brackets - prob'!D64*'Brackets - freq'!D64-P65))</f>
        <v/>
      </c>
      <c r="AO65" s="194">
        <f>Bracket!H$2^2*(('Brackets - prob'!E64-K65)*(1+2*E65)-'Brackets - prob'!E64^2+K65^2-2*('Brackets - prob'!E64*'Brackets - freq'!E64-Q65))</f>
        <v/>
      </c>
      <c r="AP65" s="194">
        <f>Bracket!I$2^2*(('Brackets - prob'!F64-L65)*(1+2*F65)-'Brackets - prob'!F64^2+L65^2-2*('Brackets - prob'!F64*'Brackets - freq'!F64-R65))</f>
        <v/>
      </c>
      <c r="AQ65" s="194">
        <f>Bracket!J$2^2*(('Brackets - prob'!G64-M65)*(1+2*G65)-'Brackets - prob'!G64^2+M65^2-2*('Brackets - prob'!G64*'Brackets - freq'!G64-S65))</f>
        <v/>
      </c>
      <c r="AR65" s="192">
        <f>SUM($AL65:AL65)</f>
        <v/>
      </c>
      <c r="AS65" s="192">
        <f>SUM($AL65:AM65)</f>
        <v/>
      </c>
      <c r="AT65" s="192">
        <f>SUM($AL65:AN65)</f>
        <v/>
      </c>
      <c r="AU65" s="192">
        <f>SUM($AL65:AO65)</f>
        <v/>
      </c>
      <c r="AV65" s="192">
        <f>SUM($AL65:AP65)</f>
        <v/>
      </c>
      <c r="AW65" s="192">
        <f>SUM($AL65:AQ65)</f>
        <v/>
      </c>
      <c r="AX65" s="195">
        <f>IF(Z65=0,0,AR65/Z65)</f>
        <v/>
      </c>
      <c r="AY65" s="195">
        <f>IF(AA65=0,0,AS65/AA65)</f>
        <v/>
      </c>
      <c r="AZ65" s="195">
        <f>IF(AB65=0,0,AT65/AB65)</f>
        <v/>
      </c>
      <c r="BA65" s="195">
        <f>IF(AC65=0,0,AU65/AC65)</f>
        <v/>
      </c>
      <c r="BB65" s="195">
        <f>IF(AD65=0,0,AV65/AD65)</f>
        <v/>
      </c>
      <c r="BC65" s="195">
        <f>IF(AE65=0,0,AW65/AE65)</f>
        <v/>
      </c>
      <c r="BD65" s="196">
        <f>IF(OR(AX65=0,AX65&lt;=-1),1,0)</f>
        <v/>
      </c>
      <c r="BE65" s="196">
        <f>IF(OR(AY65=0,AY65&lt;=-1),1,0)</f>
        <v/>
      </c>
      <c r="BF65" s="196">
        <f>IF(OR(AZ65=0,AZ65&lt;=-1),1,0)</f>
        <v/>
      </c>
      <c r="BG65" s="196">
        <f>IF(OR(BA65=0,BA65&lt;=-1),1,0)</f>
        <v/>
      </c>
      <c r="BH65" s="196">
        <f>IF(OR(BB65=0,BB65&lt;=-1),1,0)</f>
        <v/>
      </c>
      <c r="BI65" s="196">
        <f>IF(OR(BC65=0,BC65&lt;=-1),1,0)</f>
        <v/>
      </c>
      <c r="BJ65" s="197">
        <f>IF(AND('Brackets - prob'!B64&gt;H65-0.5,'Brackets - freq'!B64/'Brackets - prob'!B64&lt;N65/H65^2),1,0)</f>
        <v/>
      </c>
      <c r="BK65" s="197">
        <f>IF(AND('Brackets - prob'!C64&gt;I65-0.5,'Brackets - freq'!C64/'Brackets - prob'!C64&lt;O65/I65^2),1,0)</f>
        <v/>
      </c>
      <c r="BL65" s="197">
        <f>IF(AND('Brackets - prob'!D64&gt;J65-0.5,'Brackets - freq'!D64/'Brackets - prob'!D64&lt;P65/J65^2),1,0)</f>
        <v/>
      </c>
      <c r="BM65" s="197">
        <f>IF(AND('Brackets - prob'!E64&gt;K65-0.5,'Brackets - freq'!E64/'Brackets - prob'!E64&lt;Q65/K65^2),1,0)</f>
        <v/>
      </c>
      <c r="BN65" s="197">
        <f>IF(AND('Brackets - prob'!F64&gt;L65-0.5,'Brackets - freq'!F64/'Brackets - prob'!F64&lt;R65/L65^2),1,0)</f>
        <v/>
      </c>
      <c r="BO65" s="197">
        <f>IF(AND('Brackets - prob'!G64&gt;M65-0.5,'Brackets - freq'!G64/'Brackets - prob'!G64&lt;S65/M65^2),1,0)</f>
        <v/>
      </c>
    </row>
    <row r="66">
      <c r="A66" s="41" t="inlineStr">
        <is>
          <t>Abilene Christian</t>
        </is>
      </c>
      <c r="B66" s="51">
        <f>B65</f>
        <v/>
      </c>
      <c r="C66" s="51">
        <f>C65</f>
        <v/>
      </c>
      <c r="D66" s="51">
        <f>D65</f>
        <v/>
      </c>
      <c r="E66" s="51">
        <f>E65</f>
        <v/>
      </c>
      <c r="F66" s="51">
        <f>F65</f>
        <v/>
      </c>
      <c r="G66" s="51">
        <f>G65</f>
        <v/>
      </c>
      <c r="H66" s="52">
        <f>H65</f>
        <v/>
      </c>
      <c r="I66" s="52">
        <f>I65</f>
        <v/>
      </c>
      <c r="J66" s="52">
        <f>J65</f>
        <v/>
      </c>
      <c r="K66" s="52">
        <f>K65</f>
        <v/>
      </c>
      <c r="L66" s="52">
        <f>L65</f>
        <v/>
      </c>
      <c r="M66" s="52">
        <f>M65</f>
        <v/>
      </c>
      <c r="N66" s="53">
        <f>N65</f>
        <v/>
      </c>
      <c r="O66" s="53">
        <f>O65</f>
        <v/>
      </c>
      <c r="P66" s="53">
        <f>P65</f>
        <v/>
      </c>
      <c r="Q66" s="53">
        <f>Q65</f>
        <v/>
      </c>
      <c r="R66" s="53">
        <f>R65</f>
        <v/>
      </c>
      <c r="S66" s="53">
        <f>S65</f>
        <v/>
      </c>
      <c r="T66" s="191">
        <f>Bracket!E$2*('Brackets - prob'!B65-H66)</f>
        <v/>
      </c>
      <c r="U66" s="191">
        <f>Bracket!F$2*('Brackets - prob'!C65-I66)</f>
        <v/>
      </c>
      <c r="V66" s="191">
        <f>Bracket!G$2*('Brackets - prob'!D65-J66)</f>
        <v/>
      </c>
      <c r="W66" s="191">
        <f>Bracket!H$2*('Brackets - prob'!E65-K66)</f>
        <v/>
      </c>
      <c r="X66" s="191">
        <f>Bracket!I$2*('Brackets - prob'!F65-L66)</f>
        <v/>
      </c>
      <c r="Y66" s="191">
        <f>Bracket!J$2*('Brackets - prob'!G65-M66)</f>
        <v/>
      </c>
      <c r="Z66" s="192">
        <f>SUM(T66:$T66)</f>
        <v/>
      </c>
      <c r="AA66" s="192">
        <f>SUM($T66:U66)</f>
        <v/>
      </c>
      <c r="AB66" s="192">
        <f>SUM($T66:V66)</f>
        <v/>
      </c>
      <c r="AC66" s="192">
        <f>SUM($T66:W66)</f>
        <v/>
      </c>
      <c r="AD66" s="192">
        <f>SUM($T66:X66)</f>
        <v/>
      </c>
      <c r="AE66" s="192">
        <f>SUM($T66:Y66)</f>
        <v/>
      </c>
      <c r="AF66" s="193">
        <f>'Brackets - prob'!B65*(1-'Brackets - prob'!B65-2*'Brackets - freq'!B65+2*B66)+B66-B66^2</f>
        <v/>
      </c>
      <c r="AG66" s="193">
        <f>'Brackets - prob'!C65*(1-'Brackets - prob'!C65-2*'Brackets - freq'!C65+2*C66)+C66-C66^2</f>
        <v/>
      </c>
      <c r="AH66" s="193">
        <f>'Brackets - prob'!D65*(1-'Brackets - prob'!D65-2*'Brackets - freq'!D65+2*D66)+D66-D66^2</f>
        <v/>
      </c>
      <c r="AI66" s="193">
        <f>'Brackets - prob'!E65*(1-'Brackets - prob'!E65-2*'Brackets - freq'!E65+2*E66)+E66-E66^2</f>
        <v/>
      </c>
      <c r="AJ66" s="193">
        <f>'Brackets - prob'!F65*(1-'Brackets - prob'!F65-2*'Brackets - freq'!F65+2*F66)+F66-F66^2</f>
        <v/>
      </c>
      <c r="AK66" s="193">
        <f>'Brackets - prob'!G65*(1-'Brackets - prob'!G65-2*'Brackets - freq'!G65+2*G66)+G66-G66^2</f>
        <v/>
      </c>
      <c r="AL66" s="194">
        <f>Bracket!E$2^2*(('Brackets - prob'!B65-H66)*(1+2*B66)-'Brackets - prob'!B65^2+H66^2-2*('Brackets - prob'!B65*'Brackets - freq'!B65-N66))</f>
        <v/>
      </c>
      <c r="AM66" s="194">
        <f>Bracket!F$2^2*(('Brackets - prob'!C65-I66)*(1+2*C66)-'Brackets - prob'!C65^2+I66^2-2*('Brackets - prob'!C65*'Brackets - freq'!C65-O66))</f>
        <v/>
      </c>
      <c r="AN66" s="194">
        <f>Bracket!G$2^2*(('Brackets - prob'!D65-J66)*(1+2*D66)-'Brackets - prob'!D65^2+J66^2-2*('Brackets - prob'!D65*'Brackets - freq'!D65-P66))</f>
        <v/>
      </c>
      <c r="AO66" s="194">
        <f>Bracket!H$2^2*(('Brackets - prob'!E65-K66)*(1+2*E66)-'Brackets - prob'!E65^2+K66^2-2*('Brackets - prob'!E65*'Brackets - freq'!E65-Q66))</f>
        <v/>
      </c>
      <c r="AP66" s="194">
        <f>Bracket!I$2^2*(('Brackets - prob'!F65-L66)*(1+2*F66)-'Brackets - prob'!F65^2+L66^2-2*('Brackets - prob'!F65*'Brackets - freq'!F65-R66))</f>
        <v/>
      </c>
      <c r="AQ66" s="194">
        <f>Bracket!J$2^2*(('Brackets - prob'!G65-M66)*(1+2*G66)-'Brackets - prob'!G65^2+M66^2-2*('Brackets - prob'!G65*'Brackets - freq'!G65-S66))</f>
        <v/>
      </c>
      <c r="AR66" s="192">
        <f>SUM($AL66:AL66)</f>
        <v/>
      </c>
      <c r="AS66" s="192">
        <f>SUM($AL66:AM66)</f>
        <v/>
      </c>
      <c r="AT66" s="192">
        <f>SUM($AL66:AN66)</f>
        <v/>
      </c>
      <c r="AU66" s="192">
        <f>SUM($AL66:AO66)</f>
        <v/>
      </c>
      <c r="AV66" s="192">
        <f>SUM($AL66:AP66)</f>
        <v/>
      </c>
      <c r="AW66" s="192">
        <f>SUM($AL66:AQ66)</f>
        <v/>
      </c>
      <c r="AX66" s="195">
        <f>IF(Z66=0,0,AR66/Z66)</f>
        <v/>
      </c>
      <c r="AY66" s="195">
        <f>IF(AA66=0,0,AS66/AA66)</f>
        <v/>
      </c>
      <c r="AZ66" s="195">
        <f>IF(AB66=0,0,AT66/AB66)</f>
        <v/>
      </c>
      <c r="BA66" s="195">
        <f>IF(AC66=0,0,AU66/AC66)</f>
        <v/>
      </c>
      <c r="BB66" s="195">
        <f>IF(AD66=0,0,AV66/AD66)</f>
        <v/>
      </c>
      <c r="BC66" s="195">
        <f>IF(AE66=0,0,AW66/AE66)</f>
        <v/>
      </c>
      <c r="BD66" s="196">
        <f>IF(OR(AX66=0,AX66&lt;=-1),1,0)</f>
        <v/>
      </c>
      <c r="BE66" s="196">
        <f>IF(OR(AY66=0,AY66&lt;=-1),1,0)</f>
        <v/>
      </c>
      <c r="BF66" s="196">
        <f>IF(OR(AZ66=0,AZ66&lt;=-1),1,0)</f>
        <v/>
      </c>
      <c r="BG66" s="196">
        <f>IF(OR(BA66=0,BA66&lt;=-1),1,0)</f>
        <v/>
      </c>
      <c r="BH66" s="196">
        <f>IF(OR(BB66=0,BB66&lt;=-1),1,0)</f>
        <v/>
      </c>
      <c r="BI66" s="196">
        <f>IF(OR(BC66=0,BC66&lt;=-1),1,0)</f>
        <v/>
      </c>
      <c r="BJ66" s="197">
        <f>IF(AND('Brackets - prob'!B65&gt;H66-0.5,'Brackets - freq'!B65/'Brackets - prob'!B65&lt;N66/H66^2),1,0)</f>
        <v/>
      </c>
      <c r="BK66" s="197">
        <f>IF(AND('Brackets - prob'!C65&gt;I66-0.5,'Brackets - freq'!C65/'Brackets - prob'!C65&lt;O66/I66^2),1,0)</f>
        <v/>
      </c>
      <c r="BL66" s="197">
        <f>IF(AND('Brackets - prob'!D65&gt;J66-0.5,'Brackets - freq'!D65/'Brackets - prob'!D65&lt;P66/J66^2),1,0)</f>
        <v/>
      </c>
      <c r="BM66" s="197">
        <f>IF(AND('Brackets - prob'!E65&gt;K66-0.5,'Brackets - freq'!E65/'Brackets - prob'!E65&lt;Q66/K66^2),1,0)</f>
        <v/>
      </c>
      <c r="BN66" s="197">
        <f>IF(AND('Brackets - prob'!F65&gt;L66-0.5,'Brackets - freq'!F65/'Brackets - prob'!F65&lt;R66/L66^2),1,0)</f>
        <v/>
      </c>
      <c r="BO66" s="197">
        <f>IF(AND('Brackets - prob'!G65&gt;M66-0.5,'Brackets - freq'!G65/'Brackets - prob'!G65&lt;S66/M66^2),1,0)</f>
        <v/>
      </c>
    </row>
  </sheetData>
  <mergeCells count="12">
    <mergeCell ref="Z1:AE1"/>
    <mergeCell ref="H1:M1"/>
    <mergeCell ref="BD1:BI1"/>
    <mergeCell ref="AR1:AW1"/>
    <mergeCell ref="AX1:BC1"/>
    <mergeCell ref="AF1:AK1"/>
    <mergeCell ref="BJ1:BO1"/>
    <mergeCell ref="T1:Y1"/>
    <mergeCell ref="AL1:AQ1"/>
    <mergeCell ref="B1:G1"/>
    <mergeCell ref="N1:S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Aaron Brown</dc:creator>
  <dcterms:created xsi:type="dcterms:W3CDTF">2019-03-17T21:44:18Z</dcterms:created>
  <dcterms:modified xsi:type="dcterms:W3CDTF">2026-06-12T17:09:07Z</dcterms:modified>
  <cp:lastModifiedBy>Darragh</cp:lastModifiedBy>
</cp:coreProperties>
</file>